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psich-my.sharepoint.com/personal/alvaro_hahn-menacho_psi_ch/Documents/Severin's work/3_Code/semesterproject/data/manual/"/>
    </mc:Choice>
  </mc:AlternateContent>
  <xr:revisionPtr revIDLastSave="190" documentId="13_ncr:1_{D88AC83D-3D0E-48F6-B25A-3A931C8EAFD1}" xr6:coauthVersionLast="47" xr6:coauthVersionMax="47" xr10:uidLastSave="{2BE5B1C7-5415-467C-BCA0-27A3ABC7A18A}"/>
  <bookViews>
    <workbookView xWindow="-90" yWindow="-90" windowWidth="19380" windowHeight="10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11" i="1"/>
  <c r="F62" i="1"/>
  <c r="F82" i="1"/>
  <c r="F81" i="1"/>
  <c r="F86" i="1" l="1"/>
</calcChain>
</file>

<file path=xl/sharedStrings.xml><?xml version="1.0" encoding="utf-8"?>
<sst xmlns="http://schemas.openxmlformats.org/spreadsheetml/2006/main" count="484" uniqueCount="302">
  <si>
    <t>material_category</t>
  </si>
  <si>
    <t>material_category_2</t>
  </si>
  <si>
    <t>material_id</t>
  </si>
  <si>
    <t>material_name</t>
  </si>
  <si>
    <t>other_product</t>
  </si>
  <si>
    <t>ore concentrate</t>
  </si>
  <si>
    <t>Con.Cu</t>
  </si>
  <si>
    <t>Copper concentrate</t>
  </si>
  <si>
    <t>Con.Fe</t>
  </si>
  <si>
    <t>Iron ore concentrate</t>
  </si>
  <si>
    <t>Con.MnO</t>
  </si>
  <si>
    <t>Manganese oxide concentrate</t>
  </si>
  <si>
    <t>Con.Pb</t>
  </si>
  <si>
    <t>Lead concentrate</t>
  </si>
  <si>
    <t>Con.Zn</t>
  </si>
  <si>
    <t>Zinc  concentrate</t>
  </si>
  <si>
    <t>Con.Mo</t>
  </si>
  <si>
    <t>Molybdenum  concentrate</t>
  </si>
  <si>
    <t>Con.bulk</t>
  </si>
  <si>
    <t>Bulk concentrate</t>
  </si>
  <si>
    <t>Con.MnCO3</t>
  </si>
  <si>
    <t>Manganese carbonate concentrate</t>
  </si>
  <si>
    <t>Con.Cr</t>
  </si>
  <si>
    <t>Chromium concentrate</t>
  </si>
  <si>
    <t>Con.Ni</t>
  </si>
  <si>
    <t>Nickel concentrate</t>
  </si>
  <si>
    <t>Con.Li</t>
  </si>
  <si>
    <t>Lithium concentrate</t>
  </si>
  <si>
    <t>Con.Ta</t>
  </si>
  <si>
    <t>Tantalum concentrate</t>
  </si>
  <si>
    <t>metal product</t>
  </si>
  <si>
    <t>Oth.cuce</t>
  </si>
  <si>
    <t>Copper cement</t>
  </si>
  <si>
    <t>Oth.cuca</t>
  </si>
  <si>
    <t>Copper cathode</t>
  </si>
  <si>
    <t>metal ore product</t>
  </si>
  <si>
    <t>Oth.sif</t>
  </si>
  <si>
    <t>Sinter feed</t>
  </si>
  <si>
    <t>mineral</t>
  </si>
  <si>
    <t>non-metallic mineral ore</t>
  </si>
  <si>
    <t>O.P</t>
  </si>
  <si>
    <t>Phosphate rock</t>
  </si>
  <si>
    <t>O.FeS</t>
  </si>
  <si>
    <t>Pyrite</t>
  </si>
  <si>
    <t>O.dig</t>
  </si>
  <si>
    <t>Diamond ore, gems</t>
  </si>
  <si>
    <t>O.nep</t>
  </si>
  <si>
    <t>Nepheline syenite</t>
  </si>
  <si>
    <t>O.flu</t>
  </si>
  <si>
    <t>Fluorspar ore</t>
  </si>
  <si>
    <t>non-metallic mineral</t>
  </si>
  <si>
    <t>M.dol</t>
  </si>
  <si>
    <t>Dolomite</t>
  </si>
  <si>
    <t>M.lim</t>
  </si>
  <si>
    <t>Limestone</t>
  </si>
  <si>
    <t>M.lat</t>
  </si>
  <si>
    <t>Laterite</t>
  </si>
  <si>
    <t>M.kao</t>
  </si>
  <si>
    <t>Kaolin</t>
  </si>
  <si>
    <t>M.flu</t>
  </si>
  <si>
    <t>Fluorspar</t>
  </si>
  <si>
    <t>metal ore</t>
  </si>
  <si>
    <t>O.bulk</t>
  </si>
  <si>
    <t>Bulk metal ore</t>
  </si>
  <si>
    <t>O.Fe</t>
  </si>
  <si>
    <t>Ferrous ore</t>
  </si>
  <si>
    <t>O.Cu</t>
  </si>
  <si>
    <t>Copper dominant ore</t>
  </si>
  <si>
    <t>O.Au</t>
  </si>
  <si>
    <t>Gold dominant ore</t>
  </si>
  <si>
    <t>O.oxi</t>
  </si>
  <si>
    <t>Oxide ore</t>
  </si>
  <si>
    <t>O.sul</t>
  </si>
  <si>
    <t>Sulphide ore</t>
  </si>
  <si>
    <t>O.Al</t>
  </si>
  <si>
    <t>Bauxite</t>
  </si>
  <si>
    <t>O.FeTiO3</t>
  </si>
  <si>
    <t>Ilmenite</t>
  </si>
  <si>
    <t>O.TiO2</t>
  </si>
  <si>
    <t>Rutile</t>
  </si>
  <si>
    <t>O.Zr</t>
  </si>
  <si>
    <t>Zircon</t>
  </si>
  <si>
    <t>O.Mn</t>
  </si>
  <si>
    <t>Manganese ore</t>
  </si>
  <si>
    <t>O.Ni</t>
  </si>
  <si>
    <t>Nickel dominant ore</t>
  </si>
  <si>
    <t>O.Ag</t>
  </si>
  <si>
    <t>Silver dominant ore</t>
  </si>
  <si>
    <t>O.Nb</t>
  </si>
  <si>
    <t>Columbite, niobium ore</t>
  </si>
  <si>
    <t>O.Sn</t>
  </si>
  <si>
    <t>Tin dominant ore</t>
  </si>
  <si>
    <t>O.Cr</t>
  </si>
  <si>
    <t>Chromium ore</t>
  </si>
  <si>
    <t>O.Zn</t>
  </si>
  <si>
    <t>Zinc dominant ore</t>
  </si>
  <si>
    <t>O.leu</t>
  </si>
  <si>
    <t>Leucoxene</t>
  </si>
  <si>
    <t>O.pgm</t>
  </si>
  <si>
    <t>Platinum-group metal ore</t>
  </si>
  <si>
    <t>O.Li</t>
  </si>
  <si>
    <t>Lithium ore</t>
  </si>
  <si>
    <t>O.K2O</t>
  </si>
  <si>
    <t>Potash</t>
  </si>
  <si>
    <t>ff_mineral</t>
  </si>
  <si>
    <t>coal &amp; peat</t>
  </si>
  <si>
    <t>F.sbc</t>
  </si>
  <si>
    <t>Sub-bituminous coal</t>
  </si>
  <si>
    <t>F.coal</t>
  </si>
  <si>
    <t>Coal (unspecified)</t>
  </si>
  <si>
    <t>F.coc</t>
  </si>
  <si>
    <t>Coking Coal</t>
  </si>
  <si>
    <t>F.obc</t>
  </si>
  <si>
    <t>Other bituminous coal</t>
  </si>
  <si>
    <t>F.lig</t>
  </si>
  <si>
    <t>Lignite</t>
  </si>
  <si>
    <t>F.ant</t>
  </si>
  <si>
    <t>Anthracite</t>
  </si>
  <si>
    <t>commodity</t>
  </si>
  <si>
    <t>Nm.PO</t>
  </si>
  <si>
    <t>Phosphate and Phosphorus oxides</t>
  </si>
  <si>
    <t>metal compound</t>
  </si>
  <si>
    <t>Me.Al2O3</t>
  </si>
  <si>
    <t>Alumina</t>
  </si>
  <si>
    <t>Me.U3O8</t>
  </si>
  <si>
    <t>Triuranium octoxide</t>
  </si>
  <si>
    <t>Me.Ta2O5</t>
  </si>
  <si>
    <t>Tantalum pentoxide</t>
  </si>
  <si>
    <t>Me.Li2O</t>
  </si>
  <si>
    <t>Lithium oxide</t>
  </si>
  <si>
    <t>metal</t>
  </si>
  <si>
    <t>Me.Ag</t>
  </si>
  <si>
    <t>Silver</t>
  </si>
  <si>
    <t>Me.Au</t>
  </si>
  <si>
    <t>Gold</t>
  </si>
  <si>
    <t>Me.Cu</t>
  </si>
  <si>
    <t>Copper</t>
  </si>
  <si>
    <t>Me.Zn</t>
  </si>
  <si>
    <t>Zinc</t>
  </si>
  <si>
    <t>Me.Ni</t>
  </si>
  <si>
    <t>Nickel</t>
  </si>
  <si>
    <t>Me.Pb</t>
  </si>
  <si>
    <t>Lead</t>
  </si>
  <si>
    <t>Me.Pt</t>
  </si>
  <si>
    <t>Platinum</t>
  </si>
  <si>
    <t>Me.Pd</t>
  </si>
  <si>
    <t>Palladium</t>
  </si>
  <si>
    <t>Me.Co</t>
  </si>
  <si>
    <t>Cobalt</t>
  </si>
  <si>
    <t>Me.Mo</t>
  </si>
  <si>
    <t>Molybdenum</t>
  </si>
  <si>
    <t>Me.Fe</t>
  </si>
  <si>
    <t>Iron</t>
  </si>
  <si>
    <t>Me.Mn</t>
  </si>
  <si>
    <t>Manganese</t>
  </si>
  <si>
    <t>Me.Nb</t>
  </si>
  <si>
    <t>Niobium</t>
  </si>
  <si>
    <t>Me.Sn</t>
  </si>
  <si>
    <t>Tin</t>
  </si>
  <si>
    <t>Me.Sb</t>
  </si>
  <si>
    <t>Antimony</t>
  </si>
  <si>
    <t>Me.Rh</t>
  </si>
  <si>
    <t>Rhodium</t>
  </si>
  <si>
    <t>Me.Ir</t>
  </si>
  <si>
    <t>Iridium</t>
  </si>
  <si>
    <t>Me.Ru</t>
  </si>
  <si>
    <t>Ruthenium</t>
  </si>
  <si>
    <t>Me.Te</t>
  </si>
  <si>
    <t>Tellurium</t>
  </si>
  <si>
    <t>aggregate</t>
  </si>
  <si>
    <t>non-metallic mineral aggregate</t>
  </si>
  <si>
    <t>Nm.dia</t>
  </si>
  <si>
    <t>Diamonds (unspecified)</t>
  </si>
  <si>
    <t>metal compound aggregate</t>
  </si>
  <si>
    <t>Me.Na_nec</t>
  </si>
  <si>
    <t>Sodium compounds n.e.c.</t>
  </si>
  <si>
    <t>metal aggregate</t>
  </si>
  <si>
    <t>Me.pgm</t>
  </si>
  <si>
    <t>PGM</t>
  </si>
  <si>
    <t>coal &amp; peat aggregate</t>
  </si>
  <si>
    <t>F.stc</t>
  </si>
  <si>
    <t>Steam coal</t>
  </si>
  <si>
    <t>price/kg</t>
  </si>
  <si>
    <t>source</t>
  </si>
  <si>
    <t>evoinvent_product</t>
  </si>
  <si>
    <t>copper concentrate, sulfide ore</t>
  </si>
  <si>
    <t>iron ore concentrate</t>
  </si>
  <si>
    <t>https://ecoquery.ecoinvent.org/3.11/cutoff/dataset/19700/exchanges</t>
  </si>
  <si>
    <t>https://ecoquery.ecoinvent.org/3.11/cutoff/dataset/21277/exchanges</t>
  </si>
  <si>
    <t>https://ecoquery.ecoinvent.org/3.11/cutoff/dataset/6130/exchanges</t>
  </si>
  <si>
    <t>manganese concentrate</t>
  </si>
  <si>
    <t>lead concentrate</t>
  </si>
  <si>
    <t>https://ecoquery.ecoinvent.org/3.11/cutoff/dataset/21490/exchanges</t>
  </si>
  <si>
    <t>https://ecoquery.ecoinvent.org/3.11/cutoff/dataset/19790/exchanges</t>
  </si>
  <si>
    <t>zinc concentrate</t>
  </si>
  <si>
    <t>???</t>
  </si>
  <si>
    <t>https://ecoquery.ecoinvent.org/3.11/cutoff/dataset/2800/exchanges</t>
  </si>
  <si>
    <t>chromium</t>
  </si>
  <si>
    <t>https://ecoquery.ecoinvent.org/3.11/cutoff/dataset/13679/exchanges</t>
  </si>
  <si>
    <t>nickel concentrate, 16% Ni</t>
  </si>
  <si>
    <t>https://ecoquery.ecoinvent.org/3.11/cutoff/dataset/23400/exchanges</t>
  </si>
  <si>
    <t>nickel concentrate, 7% Ni</t>
  </si>
  <si>
    <t>https://ecoquery.ecoinvent.org/3.11/cutoff/dataset/5305/exchanges</t>
  </si>
  <si>
    <t>lithium manganese oxide</t>
  </si>
  <si>
    <t>https://ecoquery.ecoinvent.org/3.11/cutoff/dataset/6082/exchanges</t>
  </si>
  <si>
    <t>lithium hydroxide</t>
  </si>
  <si>
    <t>https://ecoquery.ecoinvent.org/3.11/cutoff/dataset/24665/exchanges</t>
  </si>
  <si>
    <t>tantalum concentrate, 30% Ta2O5</t>
  </si>
  <si>
    <t>copper telluride cement</t>
  </si>
  <si>
    <t>https://ecoquery.ecoinvent.org/3.11/cutoff/dataset/1185/exchanges</t>
  </si>
  <si>
    <t>https://ecoquery.ecoinvent.org/3.11/cutoff/dataset/20347/exchanges</t>
  </si>
  <si>
    <t>copper, cathode</t>
  </si>
  <si>
    <t>https://ecoquery.ecoinvent.org/3.11/cutoff/dataset/22991/exchanges</t>
  </si>
  <si>
    <t>iron sinter</t>
  </si>
  <si>
    <t>phosphate rock, beneficiated</t>
  </si>
  <si>
    <t>https://ecoquery.ecoinvent.org/3.11/cutoff/dataset/22517/exchanges</t>
  </si>
  <si>
    <t>Pyrite Ash only as -1kg in clinker production?</t>
  </si>
  <si>
    <t>https://ecoquery.ecoinvent.org/3.11/cutoff/dataset/25063/exchanges</t>
  </si>
  <si>
    <t>fluorspar, 97% purity</t>
  </si>
  <si>
    <t>dolomite</t>
  </si>
  <si>
    <t>kaolin</t>
  </si>
  <si>
    <t>bauxite</t>
  </si>
  <si>
    <t>zircon</t>
  </si>
  <si>
    <t>https://ecoquery.ecoinvent.org/3.11/cutoff/dataset/5071/exchanges</t>
  </si>
  <si>
    <t>limestone, unprocessed</t>
  </si>
  <si>
    <t>https://ecoquery.ecoinvent.org/3.11/cutoff/dataset/5188/exchanges</t>
  </si>
  <si>
    <t>https://ecoquery.ecoinvent.org/3.11/cutoff/dataset/21310/exchanges</t>
  </si>
  <si>
    <t>laterite, mineral</t>
  </si>
  <si>
    <t>https://ecoquery.ecoinvent.org/3.11/cutoff/dataset/4048/exchanges</t>
  </si>
  <si>
    <t>https://ecoquery.ecoinvent.org/3.11/cutoff/dataset/5475/exchanges</t>
  </si>
  <si>
    <t>iron ore, crude ore, 46% Fe</t>
  </si>
  <si>
    <t>iron ore, crude ore, 63% Fe</t>
  </si>
  <si>
    <t>https://ecoquery.ecoinvent.org/3.11/cutoff/dataset/20374/exchanges</t>
  </si>
  <si>
    <t>https://ecoquery.ecoinvent.org/3.11/cutoff/dataset/6289/exchanges</t>
  </si>
  <si>
    <t>https://ecoquery.ecoinvent.org/3.11/cutoff/dataset/8277/exchanges</t>
  </si>
  <si>
    <t>gold, unrefined</t>
  </si>
  <si>
    <t>https://ecoquery.ecoinvent.org/3.11/cutoff/dataset/20299/exchanges</t>
  </si>
  <si>
    <t>https://ecoquery.ecoinvent.org/3.11/cutoff/dataset/729/exchanges</t>
  </si>
  <si>
    <t>ilmenite, 54% titanium dioxide</t>
  </si>
  <si>
    <t>https://ecoquery.ecoinvent.org/3.11/cutoff/dataset/4092/exchanges</t>
  </si>
  <si>
    <t>rutile, 95% titanium dioxide</t>
  </si>
  <si>
    <t>https://ecoquery.ecoinvent.org/3.11/cutoff/dataset/24840/exchanges</t>
  </si>
  <si>
    <t>https://ecoquery.ecoinvent.org/3.11/cutoff/dataset/5657/exchanges</t>
  </si>
  <si>
    <t>https://ecoquery.ecoinvent.org/3.11/cutoff/dataset/9548/exchanges</t>
  </si>
  <si>
    <t>manganese</t>
  </si>
  <si>
    <t>nickel-rich materials</t>
  </si>
  <si>
    <t>https://ecoquery.ecoinvent.org/3.11/cutoff/dataset/23952/exchanges</t>
  </si>
  <si>
    <t>silver, unrefined</t>
  </si>
  <si>
    <t>https://ecoquery.ecoinvent.org/3.11/cutoff/dataset/19798/exchanges</t>
  </si>
  <si>
    <t>tin concentrate</t>
  </si>
  <si>
    <t>https://ecoquery.ecoinvent.org/3.11/cutoff/dataset/19388/exchanges</t>
  </si>
  <si>
    <t>platinum group metal concentrate</t>
  </si>
  <si>
    <t>https://ecoquery.ecoinvent.org/3.11/cutoff/dataset/21961/exchanges</t>
  </si>
  <si>
    <t>potash salt</t>
  </si>
  <si>
    <t>https://ecoquery.ecoinvent.org/3.11/cutoff/dataset/22800/exchanges</t>
  </si>
  <si>
    <t>hard coal</t>
  </si>
  <si>
    <t>https://ecoquery.ecoinvent.org/3.11/cutoff/dataset/1177/exchanges</t>
  </si>
  <si>
    <t>lignite</t>
  </si>
  <si>
    <t>https://ecoquery.ecoinvent.org/3.11/cutoff/dataset/3653/exchanges</t>
  </si>
  <si>
    <t>sodium phosphate</t>
  </si>
  <si>
    <t>https://ecoquery.ecoinvent.org/3.11/cutoff/dataset/1876/exchanges</t>
  </si>
  <si>
    <t>sodium aluminate, powder</t>
  </si>
  <si>
    <t>https://ecoquery.ecoinvent.org/3.11/cutoff/dataset/11296/exchanges</t>
  </si>
  <si>
    <t>https://ecoquery.ecoinvent.org/3.11/cutoff/dataset/4736/exchanges</t>
  </si>
  <si>
    <t>silver</t>
  </si>
  <si>
    <t>gold</t>
  </si>
  <si>
    <t>lead</t>
  </si>
  <si>
    <t>platinum</t>
  </si>
  <si>
    <t>palladium</t>
  </si>
  <si>
    <t>cobalt</t>
  </si>
  <si>
    <t>molybdenum</t>
  </si>
  <si>
    <t>niobium</t>
  </si>
  <si>
    <t>antimony</t>
  </si>
  <si>
    <t>rhodium</t>
  </si>
  <si>
    <t>https://ecoquery.ecoinvent.org/3.11/cutoff/dataset/6159/exchanges</t>
  </si>
  <si>
    <t>https://ecoquery.ecoinvent.org/3.11/cutoff/dataset/1779/exchanges</t>
  </si>
  <si>
    <t>https://ecoquery.ecoinvent.org/3.11/cutoff/dataset/6012/exchanges</t>
  </si>
  <si>
    <t>https://ecoquery.ecoinvent.org/3.11/cutoff/dataset/5172/exchanges</t>
  </si>
  <si>
    <t>nickel, class 1</t>
  </si>
  <si>
    <t>https://ecoquery.ecoinvent.org/3.11/cutoff/dataset/7386/exchanges</t>
  </si>
  <si>
    <t>https://ecoquery.ecoinvent.org/3.11/cutoff/dataset/5590/exchanges</t>
  </si>
  <si>
    <t>https://ecoquery.ecoinvent.org/3.11/cutoff/dataset/6223/exchanges</t>
  </si>
  <si>
    <t>https://ecoquery.ecoinvent.org/3.11/cutoff/dataset/9498/exchanges</t>
  </si>
  <si>
    <t>https://ecoquery.ecoinvent.org/3.11/cutoff/dataset/2040/exchanges</t>
  </si>
  <si>
    <t>pig iron</t>
  </si>
  <si>
    <t>https://ecoquery.ecoinvent.org/3.11/cutoff/dataset/20867/exchanges</t>
  </si>
  <si>
    <t>https://www.globemm.com/niobium-markets#:~:text=Currently%2C%20niobium%20prices%20range%20from,specialised%20products%20realise%20higher%20prices.</t>
  </si>
  <si>
    <t>https://ecoquery.ecoinvent.org/3.11/cutoff/dataset/1387/exchanges</t>
  </si>
  <si>
    <t>https://ecoquery.ecoinvent.org/3.11/cutoff/dataset/3889/exchanges</t>
  </si>
  <si>
    <t>https://ecoquery.ecoinvent.org/3.11/cutoff/dataset/22015/exchanges</t>
  </si>
  <si>
    <t>tellurium, semiconductor-grade</t>
  </si>
  <si>
    <t>https://ecoquery.ecoinvent.org/3.11/cutoff/dataset/11094/exchanges</t>
  </si>
  <si>
    <t>molybdenite</t>
  </si>
  <si>
    <t>https://ecoquery.ecoinvent.org/3.11/cutoff/dataset/2695/exchanges</t>
  </si>
  <si>
    <t>https://github.com/polca/premise/blob/master/premise/data/additional_inventories/lci-PGM.xlsx</t>
  </si>
  <si>
    <t>conversion factor dollar -&gt; Euro = 0.86</t>
  </si>
  <si>
    <t>Average of platinum, palladium, rhodium, ruthenium, iridium</t>
  </si>
  <si>
    <t>https://tradingeconomics.com/commodity/uranium</t>
  </si>
  <si>
    <t>76.1 USD/Lbs</t>
  </si>
  <si>
    <t>https://www.pricescope.com/diamond-prices/diamond-prices-chart/</t>
  </si>
  <si>
    <t>Sodium Bicarbonate</t>
  </si>
  <si>
    <t>https://ecoquery.ecoinvent.org/3.11/cutoff/dataset/19124/exchanges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</si>
</sst>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0" fillId="2" borderId="0" xfId="0" applyFill="1"/>
    <xf numFmtId="0" fontId="2" fillId="2" borderId="0" xfId="1" applyFill="1"/>
    <xf numFmtId="11" fontId="0" fillId="2" borderId="0" xfId="0" applyNumberFormat="1" applyFill="1"/>
    <xf numFmtId="11" fontId="0" fillId="0" borderId="0" xfId="0" applyNumberFormat="1"/>
    <xf numFmtId="0" fontId="0" fillId="3" borderId="0" xfId="0" applyFill="1"/>
    <xf numFmtId="11" fontId="0" fillId="3" borderId="0" xfId="0" applyNumberFormat="1" applyFill="1"/>
    <xf numFmtId="0" fontId="2" fillId="3" borderId="0" xfId="1" applyFill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Fill="1"/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coquery.ecoinvent.org/3.11/cutoff/dataset/6130/exchanges" TargetMode="External"/><Relationship Id="rId3" Type="http://schemas.openxmlformats.org/officeDocument/2006/relationships/hyperlink" Target="https://ecoquery.ecoinvent.org/3.11/cutoff/dataset/6130/exchanges" TargetMode="External"/><Relationship Id="rId7" Type="http://schemas.openxmlformats.org/officeDocument/2006/relationships/hyperlink" Target="https://ecoquery.ecoinvent.org/3.11/cutoff/dataset/2800/exchanges" TargetMode="External"/><Relationship Id="rId2" Type="http://schemas.openxmlformats.org/officeDocument/2006/relationships/hyperlink" Target="https://ecoquery.ecoinvent.org/3.11/cutoff/dataset/21277/exchanges" TargetMode="External"/><Relationship Id="rId1" Type="http://schemas.openxmlformats.org/officeDocument/2006/relationships/hyperlink" Target="https://ecoquery.ecoinvent.org/3.11/cutoff/dataset/19700/exchanges" TargetMode="External"/><Relationship Id="rId6" Type="http://schemas.openxmlformats.org/officeDocument/2006/relationships/hyperlink" Target="https://ecoquery.ecoinvent.org/3.11/cutoff/dataset/2800/exchanges" TargetMode="External"/><Relationship Id="rId5" Type="http://schemas.openxmlformats.org/officeDocument/2006/relationships/hyperlink" Target="https://ecoquery.ecoinvent.org/3.11/cutoff/dataset/19790/exchanges" TargetMode="External"/><Relationship Id="rId4" Type="http://schemas.openxmlformats.org/officeDocument/2006/relationships/hyperlink" Target="https://ecoquery.ecoinvent.org/3.11/cutoff/dataset/21490/exchanges" TargetMode="External"/><Relationship Id="rId9" Type="http://schemas.openxmlformats.org/officeDocument/2006/relationships/hyperlink" Target="https://www.globemm.com/niobium-mark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tabSelected="1" topLeftCell="A17" zoomScaleNormal="115" workbookViewId="0">
      <selection activeCell="D24" sqref="D24"/>
    </sheetView>
  </sheetViews>
  <sheetFormatPr defaultRowHeight="14.75" x14ac:dyDescent="0.75"/>
  <cols>
    <col min="1" max="1" width="16.1328125" bestFit="1" customWidth="1"/>
    <col min="2" max="2" width="26.54296875" bestFit="1" customWidth="1"/>
    <col min="3" max="3" width="10.54296875" bestFit="1" customWidth="1"/>
    <col min="4" max="4" width="29.7265625" bestFit="1" customWidth="1"/>
    <col min="5" max="5" width="26.7265625" bestFit="1" customWidth="1"/>
    <col min="6" max="6" width="18.54296875" customWidth="1"/>
  </cols>
  <sheetData>
    <row r="1" spans="1:8" s="1" customForma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184</v>
      </c>
      <c r="F1" s="1" t="s">
        <v>182</v>
      </c>
      <c r="G1" s="1" t="s">
        <v>183</v>
      </c>
    </row>
    <row r="2" spans="1:8" x14ac:dyDescent="0.75">
      <c r="A2" t="s">
        <v>4</v>
      </c>
      <c r="B2" t="s">
        <v>5</v>
      </c>
      <c r="C2" t="s">
        <v>6</v>
      </c>
      <c r="D2" t="s">
        <v>7</v>
      </c>
      <c r="E2" t="s">
        <v>185</v>
      </c>
      <c r="F2">
        <v>0.84</v>
      </c>
      <c r="G2" s="2" t="s">
        <v>188</v>
      </c>
    </row>
    <row r="3" spans="1:8" x14ac:dyDescent="0.75">
      <c r="A3" t="s">
        <v>4</v>
      </c>
      <c r="B3" t="s">
        <v>5</v>
      </c>
      <c r="C3" t="s">
        <v>8</v>
      </c>
      <c r="D3" t="s">
        <v>9</v>
      </c>
      <c r="E3" t="s">
        <v>186</v>
      </c>
      <c r="F3">
        <v>9.0700000000000003E-2</v>
      </c>
      <c r="G3" s="2" t="s">
        <v>187</v>
      </c>
    </row>
    <row r="4" spans="1:8" x14ac:dyDescent="0.75">
      <c r="A4" t="s">
        <v>4</v>
      </c>
      <c r="B4" t="s">
        <v>5</v>
      </c>
      <c r="C4" t="s">
        <v>10</v>
      </c>
      <c r="D4" t="s">
        <v>11</v>
      </c>
      <c r="E4" t="s">
        <v>190</v>
      </c>
      <c r="F4">
        <v>2.9099999999999998E-3</v>
      </c>
      <c r="G4" s="2" t="s">
        <v>189</v>
      </c>
    </row>
    <row r="5" spans="1:8" x14ac:dyDescent="0.75">
      <c r="A5" t="s">
        <v>4</v>
      </c>
      <c r="B5" t="s">
        <v>5</v>
      </c>
      <c r="C5" t="s">
        <v>12</v>
      </c>
      <c r="D5" t="s">
        <v>13</v>
      </c>
      <c r="E5" t="s">
        <v>191</v>
      </c>
      <c r="F5">
        <v>0.92</v>
      </c>
      <c r="G5" s="2" t="s">
        <v>192</v>
      </c>
    </row>
    <row r="6" spans="1:8" x14ac:dyDescent="0.75">
      <c r="A6" t="s">
        <v>4</v>
      </c>
      <c r="B6" t="s">
        <v>5</v>
      </c>
      <c r="C6" t="s">
        <v>14</v>
      </c>
      <c r="D6" t="s">
        <v>15</v>
      </c>
      <c r="E6" t="s">
        <v>194</v>
      </c>
      <c r="F6">
        <v>0.88700000000000001</v>
      </c>
      <c r="G6" s="2" t="s">
        <v>193</v>
      </c>
    </row>
    <row r="7" spans="1:8" x14ac:dyDescent="0.75">
      <c r="A7" t="s">
        <v>4</v>
      </c>
      <c r="B7" t="s">
        <v>5</v>
      </c>
      <c r="C7" t="s">
        <v>16</v>
      </c>
      <c r="D7" t="s">
        <v>17</v>
      </c>
      <c r="E7" t="s">
        <v>292</v>
      </c>
      <c r="F7">
        <v>5.84</v>
      </c>
      <c r="G7" t="s">
        <v>293</v>
      </c>
    </row>
    <row r="8" spans="1:8" x14ac:dyDescent="0.75">
      <c r="A8" t="s">
        <v>4</v>
      </c>
      <c r="B8" t="s">
        <v>5</v>
      </c>
      <c r="C8" t="s">
        <v>18</v>
      </c>
      <c r="D8" t="s">
        <v>19</v>
      </c>
      <c r="H8" t="s">
        <v>195</v>
      </c>
    </row>
    <row r="9" spans="1:8" x14ac:dyDescent="0.75">
      <c r="A9" t="s">
        <v>4</v>
      </c>
      <c r="B9" t="s">
        <v>5</v>
      </c>
      <c r="C9" t="s">
        <v>20</v>
      </c>
      <c r="D9" t="s">
        <v>21</v>
      </c>
      <c r="E9" t="s">
        <v>190</v>
      </c>
      <c r="F9">
        <v>2.9099999999999998E-3</v>
      </c>
      <c r="G9" s="2" t="s">
        <v>189</v>
      </c>
    </row>
    <row r="10" spans="1:8" x14ac:dyDescent="0.75">
      <c r="A10" t="s">
        <v>4</v>
      </c>
      <c r="B10" t="s">
        <v>5</v>
      </c>
      <c r="C10" t="s">
        <v>22</v>
      </c>
      <c r="D10" t="s">
        <v>23</v>
      </c>
      <c r="E10" s="3" t="s">
        <v>197</v>
      </c>
      <c r="F10" s="3">
        <v>5.85</v>
      </c>
      <c r="G10" s="4" t="s">
        <v>196</v>
      </c>
    </row>
    <row r="11" spans="1:8" x14ac:dyDescent="0.75">
      <c r="A11" s="11" t="s">
        <v>4</v>
      </c>
      <c r="B11" s="11" t="s">
        <v>5</v>
      </c>
      <c r="C11" s="11" t="s">
        <v>24</v>
      </c>
      <c r="D11" s="11" t="s">
        <v>25</v>
      </c>
      <c r="E11" s="12"/>
      <c r="F11" s="12">
        <f>AVERAGE(F12:F13)</f>
        <v>1.1739999999999999</v>
      </c>
      <c r="G11" s="13"/>
    </row>
    <row r="12" spans="1:8" x14ac:dyDescent="0.75">
      <c r="E12" t="s">
        <v>201</v>
      </c>
      <c r="F12">
        <v>0.628</v>
      </c>
      <c r="G12" t="s">
        <v>200</v>
      </c>
    </row>
    <row r="13" spans="1:8" x14ac:dyDescent="0.75">
      <c r="A13" s="11"/>
      <c r="B13" s="11"/>
      <c r="C13" s="11"/>
      <c r="D13" s="11"/>
      <c r="E13" t="s">
        <v>199</v>
      </c>
      <c r="F13">
        <v>1.72</v>
      </c>
      <c r="G13" t="s">
        <v>198</v>
      </c>
    </row>
    <row r="14" spans="1:8" x14ac:dyDescent="0.75">
      <c r="A14" t="s">
        <v>4</v>
      </c>
      <c r="B14" t="s">
        <v>5</v>
      </c>
      <c r="C14" t="s">
        <v>26</v>
      </c>
      <c r="D14" t="s">
        <v>27</v>
      </c>
      <c r="H14" t="s">
        <v>195</v>
      </c>
    </row>
    <row r="15" spans="1:8" x14ac:dyDescent="0.75">
      <c r="A15" t="s">
        <v>4</v>
      </c>
      <c r="B15" t="s">
        <v>5</v>
      </c>
      <c r="C15" t="s">
        <v>28</v>
      </c>
      <c r="D15" t="s">
        <v>29</v>
      </c>
      <c r="E15" t="s">
        <v>207</v>
      </c>
      <c r="F15">
        <v>8.3800000000000008</v>
      </c>
      <c r="G15" t="s">
        <v>206</v>
      </c>
    </row>
    <row r="16" spans="1:8" x14ac:dyDescent="0.75">
      <c r="A16" t="s">
        <v>4</v>
      </c>
      <c r="B16" t="s">
        <v>30</v>
      </c>
      <c r="C16" t="s">
        <v>31</v>
      </c>
      <c r="D16" t="s">
        <v>32</v>
      </c>
      <c r="E16" s="3" t="s">
        <v>208</v>
      </c>
      <c r="F16" s="3">
        <v>3.99</v>
      </c>
      <c r="G16" s="3" t="s">
        <v>209</v>
      </c>
    </row>
    <row r="17" spans="1:8" x14ac:dyDescent="0.75">
      <c r="A17" t="s">
        <v>4</v>
      </c>
      <c r="B17" t="s">
        <v>30</v>
      </c>
      <c r="C17" t="s">
        <v>33</v>
      </c>
      <c r="D17" t="s">
        <v>34</v>
      </c>
      <c r="E17" t="s">
        <v>211</v>
      </c>
      <c r="F17">
        <v>5.52</v>
      </c>
      <c r="G17" t="s">
        <v>210</v>
      </c>
    </row>
    <row r="18" spans="1:8" x14ac:dyDescent="0.75">
      <c r="A18" t="s">
        <v>4</v>
      </c>
      <c r="B18" t="s">
        <v>35</v>
      </c>
      <c r="C18" t="s">
        <v>36</v>
      </c>
      <c r="D18" t="s">
        <v>37</v>
      </c>
      <c r="E18" s="3" t="s">
        <v>213</v>
      </c>
      <c r="F18" s="3">
        <v>5.91E-2</v>
      </c>
      <c r="G18" s="3" t="s">
        <v>212</v>
      </c>
    </row>
    <row r="19" spans="1:8" x14ac:dyDescent="0.75">
      <c r="A19" t="s">
        <v>38</v>
      </c>
      <c r="B19" t="s">
        <v>39</v>
      </c>
      <c r="C19" t="s">
        <v>40</v>
      </c>
      <c r="D19" t="s">
        <v>41</v>
      </c>
      <c r="E19" t="s">
        <v>214</v>
      </c>
      <c r="F19">
        <v>4.9000000000000002E-2</v>
      </c>
      <c r="G19" t="s">
        <v>215</v>
      </c>
    </row>
    <row r="20" spans="1:8" x14ac:dyDescent="0.75">
      <c r="A20" t="s">
        <v>38</v>
      </c>
      <c r="B20" t="s">
        <v>39</v>
      </c>
      <c r="C20" t="s">
        <v>42</v>
      </c>
      <c r="D20" t="s">
        <v>43</v>
      </c>
      <c r="H20" t="s">
        <v>216</v>
      </c>
    </row>
    <row r="21" spans="1:8" x14ac:dyDescent="0.75">
      <c r="A21" t="s">
        <v>38</v>
      </c>
      <c r="B21" t="s">
        <v>39</v>
      </c>
      <c r="C21" t="s">
        <v>44</v>
      </c>
      <c r="D21" t="s">
        <v>45</v>
      </c>
      <c r="H21" t="s">
        <v>195</v>
      </c>
    </row>
    <row r="22" spans="1:8" x14ac:dyDescent="0.75">
      <c r="A22" t="s">
        <v>38</v>
      </c>
      <c r="B22" t="s">
        <v>39</v>
      </c>
      <c r="C22" t="s">
        <v>46</v>
      </c>
      <c r="D22" t="s">
        <v>47</v>
      </c>
      <c r="H22" t="s">
        <v>195</v>
      </c>
    </row>
    <row r="23" spans="1:8" x14ac:dyDescent="0.75">
      <c r="A23" t="s">
        <v>38</v>
      </c>
      <c r="B23" t="s">
        <v>39</v>
      </c>
      <c r="C23" t="s">
        <v>48</v>
      </c>
      <c r="D23" t="s">
        <v>49</v>
      </c>
      <c r="E23" s="3" t="s">
        <v>218</v>
      </c>
      <c r="F23" s="3">
        <v>0.21</v>
      </c>
      <c r="G23" s="3" t="s">
        <v>217</v>
      </c>
    </row>
    <row r="24" spans="1:8" x14ac:dyDescent="0.75">
      <c r="A24" t="s">
        <v>38</v>
      </c>
      <c r="B24" t="s">
        <v>50</v>
      </c>
      <c r="C24" t="s">
        <v>51</v>
      </c>
      <c r="D24" t="s">
        <v>52</v>
      </c>
      <c r="E24" t="s">
        <v>219</v>
      </c>
      <c r="F24">
        <v>1.6E-2</v>
      </c>
      <c r="G24" t="s">
        <v>223</v>
      </c>
    </row>
    <row r="25" spans="1:8" x14ac:dyDescent="0.75">
      <c r="A25" t="s">
        <v>38</v>
      </c>
      <c r="B25" t="s">
        <v>50</v>
      </c>
      <c r="C25" t="s">
        <v>53</v>
      </c>
      <c r="D25" t="s">
        <v>54</v>
      </c>
      <c r="E25" t="s">
        <v>224</v>
      </c>
      <c r="F25">
        <v>1.4E-2</v>
      </c>
      <c r="G25" t="s">
        <v>225</v>
      </c>
    </row>
    <row r="26" spans="1:8" x14ac:dyDescent="0.75">
      <c r="A26" t="s">
        <v>38</v>
      </c>
      <c r="B26" t="s">
        <v>50</v>
      </c>
      <c r="C26" t="s">
        <v>55</v>
      </c>
      <c r="D26" t="s">
        <v>56</v>
      </c>
      <c r="E26" t="s">
        <v>227</v>
      </c>
      <c r="F26">
        <v>7.5500000000000003E-3</v>
      </c>
      <c r="G26" t="s">
        <v>226</v>
      </c>
    </row>
    <row r="27" spans="1:8" x14ac:dyDescent="0.75">
      <c r="A27" t="s">
        <v>38</v>
      </c>
      <c r="B27" t="s">
        <v>50</v>
      </c>
      <c r="C27" t="s">
        <v>57</v>
      </c>
      <c r="D27" t="s">
        <v>58</v>
      </c>
      <c r="E27" t="s">
        <v>220</v>
      </c>
      <c r="F27">
        <v>0.13</v>
      </c>
      <c r="G27" t="s">
        <v>228</v>
      </c>
    </row>
    <row r="28" spans="1:8" x14ac:dyDescent="0.75">
      <c r="A28" t="s">
        <v>38</v>
      </c>
      <c r="B28" t="s">
        <v>50</v>
      </c>
      <c r="C28" t="s">
        <v>59</v>
      </c>
      <c r="D28" t="s">
        <v>60</v>
      </c>
      <c r="E28" t="s">
        <v>218</v>
      </c>
      <c r="F28">
        <v>0.21</v>
      </c>
      <c r="G28" t="s">
        <v>229</v>
      </c>
    </row>
    <row r="29" spans="1:8" x14ac:dyDescent="0.75">
      <c r="A29" t="s">
        <v>38</v>
      </c>
      <c r="B29" t="s">
        <v>61</v>
      </c>
      <c r="C29" t="s">
        <v>62</v>
      </c>
      <c r="D29" t="s">
        <v>63</v>
      </c>
      <c r="H29" t="s">
        <v>195</v>
      </c>
    </row>
    <row r="30" spans="1:8" x14ac:dyDescent="0.75">
      <c r="A30" s="11" t="s">
        <v>38</v>
      </c>
      <c r="B30" s="11" t="s">
        <v>61</v>
      </c>
      <c r="C30" s="11" t="s">
        <v>64</v>
      </c>
      <c r="D30" s="11" t="s">
        <v>65</v>
      </c>
      <c r="F30">
        <f>AVERAGE(F31:F32)</f>
        <v>4.265E-2</v>
      </c>
    </row>
    <row r="31" spans="1:8" x14ac:dyDescent="0.75">
      <c r="E31" t="s">
        <v>230</v>
      </c>
      <c r="F31">
        <v>0.04</v>
      </c>
      <c r="G31" t="s">
        <v>233</v>
      </c>
    </row>
    <row r="32" spans="1:8" x14ac:dyDescent="0.75">
      <c r="A32" s="11"/>
      <c r="B32" s="11"/>
      <c r="C32" s="11"/>
      <c r="D32" s="11"/>
      <c r="E32" t="s">
        <v>231</v>
      </c>
      <c r="F32">
        <v>4.53E-2</v>
      </c>
      <c r="G32" t="s">
        <v>232</v>
      </c>
    </row>
    <row r="33" spans="1:8" x14ac:dyDescent="0.75">
      <c r="A33" t="s">
        <v>38</v>
      </c>
      <c r="B33" t="s">
        <v>61</v>
      </c>
      <c r="C33" t="s">
        <v>66</v>
      </c>
      <c r="D33" t="s">
        <v>67</v>
      </c>
      <c r="E33" s="3" t="s">
        <v>185</v>
      </c>
      <c r="F33" s="3">
        <v>0.84</v>
      </c>
      <c r="G33" s="3" t="s">
        <v>234</v>
      </c>
    </row>
    <row r="34" spans="1:8" x14ac:dyDescent="0.75">
      <c r="A34" t="s">
        <v>38</v>
      </c>
      <c r="B34" t="s">
        <v>61</v>
      </c>
      <c r="C34" t="s">
        <v>68</v>
      </c>
      <c r="D34" t="s">
        <v>69</v>
      </c>
      <c r="E34" s="3" t="s">
        <v>235</v>
      </c>
      <c r="F34" s="5">
        <v>21400</v>
      </c>
      <c r="G34" s="3" t="s">
        <v>236</v>
      </c>
    </row>
    <row r="35" spans="1:8" x14ac:dyDescent="0.75">
      <c r="A35" t="s">
        <v>38</v>
      </c>
      <c r="B35" t="s">
        <v>61</v>
      </c>
      <c r="C35" t="s">
        <v>70</v>
      </c>
      <c r="D35" t="s">
        <v>71</v>
      </c>
      <c r="H35" t="s">
        <v>195</v>
      </c>
    </row>
    <row r="36" spans="1:8" x14ac:dyDescent="0.75">
      <c r="A36" t="s">
        <v>38</v>
      </c>
      <c r="B36" t="s">
        <v>61</v>
      </c>
      <c r="C36" t="s">
        <v>72</v>
      </c>
      <c r="D36" t="s">
        <v>73</v>
      </c>
      <c r="E36" s="3" t="s">
        <v>185</v>
      </c>
      <c r="F36" s="3">
        <v>0.84</v>
      </c>
      <c r="G36" s="3" t="s">
        <v>234</v>
      </c>
    </row>
    <row r="37" spans="1:8" x14ac:dyDescent="0.75">
      <c r="A37" t="s">
        <v>38</v>
      </c>
      <c r="B37" t="s">
        <v>61</v>
      </c>
      <c r="C37" t="s">
        <v>74</v>
      </c>
      <c r="D37" t="s">
        <v>75</v>
      </c>
      <c r="E37" t="s">
        <v>221</v>
      </c>
      <c r="F37">
        <v>3.78E-2</v>
      </c>
      <c r="G37" t="s">
        <v>237</v>
      </c>
    </row>
    <row r="38" spans="1:8" x14ac:dyDescent="0.75">
      <c r="A38" t="s">
        <v>38</v>
      </c>
      <c r="B38" t="s">
        <v>61</v>
      </c>
      <c r="C38" t="s">
        <v>76</v>
      </c>
      <c r="D38" t="s">
        <v>77</v>
      </c>
      <c r="E38" t="s">
        <v>238</v>
      </c>
      <c r="F38">
        <v>0.17599999999999999</v>
      </c>
      <c r="G38" t="s">
        <v>239</v>
      </c>
    </row>
    <row r="39" spans="1:8" x14ac:dyDescent="0.75">
      <c r="A39" t="s">
        <v>38</v>
      </c>
      <c r="B39" t="s">
        <v>61</v>
      </c>
      <c r="C39" t="s">
        <v>78</v>
      </c>
      <c r="D39" t="s">
        <v>79</v>
      </c>
      <c r="E39" t="s">
        <v>240</v>
      </c>
      <c r="F39">
        <v>0.84599999999999997</v>
      </c>
      <c r="G39" t="s">
        <v>241</v>
      </c>
    </row>
    <row r="40" spans="1:8" x14ac:dyDescent="0.75">
      <c r="A40" t="s">
        <v>38</v>
      </c>
      <c r="B40" t="s">
        <v>61</v>
      </c>
      <c r="C40" t="s">
        <v>80</v>
      </c>
      <c r="D40" t="s">
        <v>81</v>
      </c>
      <c r="E40" t="s">
        <v>222</v>
      </c>
      <c r="F40">
        <v>1.1499999999999999</v>
      </c>
      <c r="G40" t="s">
        <v>242</v>
      </c>
    </row>
    <row r="41" spans="1:8" x14ac:dyDescent="0.75">
      <c r="A41" t="s">
        <v>38</v>
      </c>
      <c r="B41" t="s">
        <v>61</v>
      </c>
      <c r="C41" t="s">
        <v>82</v>
      </c>
      <c r="D41" t="s">
        <v>83</v>
      </c>
      <c r="E41" s="3" t="s">
        <v>244</v>
      </c>
      <c r="F41" s="3">
        <v>1.24</v>
      </c>
      <c r="G41" s="3" t="s">
        <v>243</v>
      </c>
    </row>
    <row r="42" spans="1:8" x14ac:dyDescent="0.75">
      <c r="A42" t="s">
        <v>38</v>
      </c>
      <c r="B42" t="s">
        <v>61</v>
      </c>
      <c r="C42" t="s">
        <v>84</v>
      </c>
      <c r="D42" t="s">
        <v>85</v>
      </c>
      <c r="E42" s="3" t="s">
        <v>245</v>
      </c>
      <c r="F42" s="3">
        <v>11.2</v>
      </c>
      <c r="G42" s="3" t="s">
        <v>246</v>
      </c>
    </row>
    <row r="43" spans="1:8" x14ac:dyDescent="0.75">
      <c r="A43" t="s">
        <v>38</v>
      </c>
      <c r="B43" t="s">
        <v>61</v>
      </c>
      <c r="C43" t="s">
        <v>86</v>
      </c>
      <c r="D43" t="s">
        <v>87</v>
      </c>
      <c r="E43" t="s">
        <v>247</v>
      </c>
      <c r="F43">
        <v>432</v>
      </c>
      <c r="G43" t="s">
        <v>248</v>
      </c>
    </row>
    <row r="44" spans="1:8" x14ac:dyDescent="0.75">
      <c r="A44" t="s">
        <v>38</v>
      </c>
      <c r="B44" t="s">
        <v>61</v>
      </c>
      <c r="C44" t="s">
        <v>88</v>
      </c>
      <c r="D44" t="s">
        <v>89</v>
      </c>
      <c r="H44" t="s">
        <v>195</v>
      </c>
    </row>
    <row r="45" spans="1:8" x14ac:dyDescent="0.75">
      <c r="A45" t="s">
        <v>38</v>
      </c>
      <c r="B45" t="s">
        <v>61</v>
      </c>
      <c r="C45" t="s">
        <v>90</v>
      </c>
      <c r="D45" t="s">
        <v>91</v>
      </c>
      <c r="E45" t="s">
        <v>249</v>
      </c>
      <c r="F45">
        <v>9.3000000000000007</v>
      </c>
      <c r="G45" t="s">
        <v>250</v>
      </c>
    </row>
    <row r="46" spans="1:8" x14ac:dyDescent="0.75">
      <c r="A46" t="s">
        <v>38</v>
      </c>
      <c r="B46" t="s">
        <v>61</v>
      </c>
      <c r="C46" t="s">
        <v>92</v>
      </c>
      <c r="D46" t="s">
        <v>93</v>
      </c>
      <c r="E46" s="3" t="s">
        <v>197</v>
      </c>
      <c r="F46" s="3">
        <v>5.85</v>
      </c>
      <c r="G46" s="4" t="s">
        <v>196</v>
      </c>
    </row>
    <row r="47" spans="1:8" x14ac:dyDescent="0.75">
      <c r="A47" t="s">
        <v>38</v>
      </c>
      <c r="B47" t="s">
        <v>61</v>
      </c>
      <c r="C47" t="s">
        <v>94</v>
      </c>
      <c r="D47" t="s">
        <v>95</v>
      </c>
      <c r="E47" t="s">
        <v>194</v>
      </c>
      <c r="F47">
        <v>0.88700000000000001</v>
      </c>
      <c r="G47" t="s">
        <v>193</v>
      </c>
    </row>
    <row r="48" spans="1:8" x14ac:dyDescent="0.75">
      <c r="A48" t="s">
        <v>38</v>
      </c>
      <c r="B48" t="s">
        <v>61</v>
      </c>
      <c r="C48" t="s">
        <v>96</v>
      </c>
      <c r="D48" t="s">
        <v>97</v>
      </c>
      <c r="H48" t="s">
        <v>195</v>
      </c>
    </row>
    <row r="49" spans="1:12" x14ac:dyDescent="0.75">
      <c r="A49" t="s">
        <v>38</v>
      </c>
      <c r="B49" t="s">
        <v>61</v>
      </c>
      <c r="C49" t="s">
        <v>98</v>
      </c>
      <c r="D49" t="s">
        <v>99</v>
      </c>
      <c r="E49" t="s">
        <v>251</v>
      </c>
      <c r="F49" s="6">
        <v>1360</v>
      </c>
      <c r="G49" t="s">
        <v>252</v>
      </c>
    </row>
    <row r="50" spans="1:12" x14ac:dyDescent="0.75">
      <c r="A50" t="s">
        <v>38</v>
      </c>
      <c r="B50" t="s">
        <v>61</v>
      </c>
      <c r="C50" t="s">
        <v>100</v>
      </c>
      <c r="D50" t="s">
        <v>101</v>
      </c>
      <c r="H50" t="s">
        <v>195</v>
      </c>
    </row>
    <row r="51" spans="1:12" x14ac:dyDescent="0.75">
      <c r="A51" t="s">
        <v>38</v>
      </c>
      <c r="B51" t="s">
        <v>61</v>
      </c>
      <c r="C51" t="s">
        <v>102</v>
      </c>
      <c r="D51" t="s">
        <v>103</v>
      </c>
      <c r="E51" t="s">
        <v>253</v>
      </c>
      <c r="F51">
        <v>1.1299999999999999E-2</v>
      </c>
      <c r="G51" t="s">
        <v>254</v>
      </c>
    </row>
    <row r="52" spans="1:12" x14ac:dyDescent="0.75">
      <c r="A52" t="s">
        <v>104</v>
      </c>
      <c r="B52" t="s">
        <v>105</v>
      </c>
      <c r="C52" t="s">
        <v>106</v>
      </c>
      <c r="D52" t="s">
        <v>107</v>
      </c>
      <c r="E52" s="3" t="s">
        <v>255</v>
      </c>
      <c r="F52" s="3">
        <v>8.6900000000000005E-2</v>
      </c>
      <c r="G52" s="3" t="s">
        <v>256</v>
      </c>
    </row>
    <row r="53" spans="1:12" x14ac:dyDescent="0.75">
      <c r="A53" t="s">
        <v>104</v>
      </c>
      <c r="B53" t="s">
        <v>105</v>
      </c>
      <c r="C53" t="s">
        <v>108</v>
      </c>
      <c r="D53" t="s">
        <v>109</v>
      </c>
      <c r="E53" s="3" t="s">
        <v>255</v>
      </c>
      <c r="F53" s="3">
        <v>8.6900000000000005E-2</v>
      </c>
      <c r="G53" s="3" t="s">
        <v>256</v>
      </c>
    </row>
    <row r="54" spans="1:12" x14ac:dyDescent="0.75">
      <c r="A54" t="s">
        <v>104</v>
      </c>
      <c r="B54" t="s">
        <v>105</v>
      </c>
      <c r="C54" t="s">
        <v>110</v>
      </c>
      <c r="D54" t="s">
        <v>111</v>
      </c>
      <c r="E54" s="3" t="s">
        <v>255</v>
      </c>
      <c r="F54" s="3">
        <v>8.6900000000000005E-2</v>
      </c>
      <c r="G54" s="3" t="s">
        <v>256</v>
      </c>
    </row>
    <row r="55" spans="1:12" x14ac:dyDescent="0.75">
      <c r="A55" t="s">
        <v>104</v>
      </c>
      <c r="B55" t="s">
        <v>105</v>
      </c>
      <c r="C55" t="s">
        <v>112</v>
      </c>
      <c r="D55" t="s">
        <v>113</v>
      </c>
      <c r="E55" s="3" t="s">
        <v>255</v>
      </c>
      <c r="F55" s="3">
        <v>8.6900000000000005E-2</v>
      </c>
      <c r="G55" s="3" t="s">
        <v>256</v>
      </c>
    </row>
    <row r="56" spans="1:12" x14ac:dyDescent="0.75">
      <c r="A56" t="s">
        <v>104</v>
      </c>
      <c r="B56" t="s">
        <v>105</v>
      </c>
      <c r="C56" t="s">
        <v>114</v>
      </c>
      <c r="D56" t="s">
        <v>115</v>
      </c>
      <c r="E56" t="s">
        <v>257</v>
      </c>
      <c r="F56">
        <v>4.0099999999999997E-2</v>
      </c>
      <c r="G56" t="s">
        <v>258</v>
      </c>
    </row>
    <row r="57" spans="1:12" x14ac:dyDescent="0.75">
      <c r="A57" t="s">
        <v>104</v>
      </c>
      <c r="B57" t="s">
        <v>105</v>
      </c>
      <c r="C57" t="s">
        <v>116</v>
      </c>
      <c r="D57" t="s">
        <v>117</v>
      </c>
      <c r="E57" t="s">
        <v>255</v>
      </c>
      <c r="F57">
        <v>8.6900000000000005E-2</v>
      </c>
      <c r="G57" t="s">
        <v>256</v>
      </c>
    </row>
    <row r="58" spans="1:12" x14ac:dyDescent="0.75">
      <c r="A58" t="s">
        <v>118</v>
      </c>
      <c r="B58" t="s">
        <v>50</v>
      </c>
      <c r="C58" t="s">
        <v>119</v>
      </c>
      <c r="D58" t="s">
        <v>120</v>
      </c>
      <c r="E58" s="3" t="s">
        <v>259</v>
      </c>
      <c r="F58" s="3">
        <v>0.99</v>
      </c>
      <c r="G58" s="3" t="s">
        <v>260</v>
      </c>
    </row>
    <row r="59" spans="1:12" x14ac:dyDescent="0.75">
      <c r="A59" t="s">
        <v>118</v>
      </c>
      <c r="B59" t="s">
        <v>121</v>
      </c>
      <c r="C59" t="s">
        <v>122</v>
      </c>
      <c r="D59" t="s">
        <v>123</v>
      </c>
      <c r="E59" t="s">
        <v>261</v>
      </c>
      <c r="F59">
        <v>0.88100000000000001</v>
      </c>
      <c r="G59" t="s">
        <v>262</v>
      </c>
    </row>
    <row r="60" spans="1:12" x14ac:dyDescent="0.75">
      <c r="A60" t="s">
        <v>118</v>
      </c>
      <c r="B60" t="s">
        <v>121</v>
      </c>
      <c r="C60" s="12" t="s">
        <v>124</v>
      </c>
      <c r="D60" t="s">
        <v>125</v>
      </c>
      <c r="F60">
        <v>1456.53</v>
      </c>
      <c r="G60" t="s">
        <v>297</v>
      </c>
      <c r="L60" t="s">
        <v>298</v>
      </c>
    </row>
    <row r="61" spans="1:12" x14ac:dyDescent="0.75">
      <c r="A61" t="s">
        <v>118</v>
      </c>
      <c r="B61" t="s">
        <v>121</v>
      </c>
      <c r="C61" t="s">
        <v>126</v>
      </c>
      <c r="D61" t="s">
        <v>127</v>
      </c>
      <c r="E61" t="s">
        <v>207</v>
      </c>
      <c r="F61">
        <v>8.3800000000000008</v>
      </c>
      <c r="G61" t="s">
        <v>206</v>
      </c>
    </row>
    <row r="62" spans="1:12" x14ac:dyDescent="0.75">
      <c r="A62" t="s">
        <v>118</v>
      </c>
      <c r="B62" t="s">
        <v>121</v>
      </c>
      <c r="C62" t="s">
        <v>128</v>
      </c>
      <c r="D62" t="s">
        <v>129</v>
      </c>
      <c r="F62">
        <f>AVERAGE(F63:F64)</f>
        <v>12.43</v>
      </c>
    </row>
    <row r="63" spans="1:12" x14ac:dyDescent="0.75">
      <c r="A63" s="10"/>
      <c r="B63" s="10"/>
      <c r="C63" s="10"/>
      <c r="D63" s="10"/>
      <c r="E63" t="s">
        <v>203</v>
      </c>
      <c r="F63">
        <v>2.36</v>
      </c>
      <c r="G63" t="s">
        <v>202</v>
      </c>
    </row>
    <row r="64" spans="1:12" x14ac:dyDescent="0.75">
      <c r="A64" s="10"/>
      <c r="B64" s="10"/>
      <c r="C64" s="10"/>
      <c r="D64" s="10"/>
      <c r="E64" t="s">
        <v>205</v>
      </c>
      <c r="F64">
        <v>22.5</v>
      </c>
      <c r="G64" t="s">
        <v>204</v>
      </c>
    </row>
    <row r="65" spans="1:7" x14ac:dyDescent="0.75">
      <c r="A65" t="s">
        <v>118</v>
      </c>
      <c r="B65" t="s">
        <v>130</v>
      </c>
      <c r="C65" t="s">
        <v>131</v>
      </c>
      <c r="D65" t="s">
        <v>132</v>
      </c>
      <c r="E65" t="s">
        <v>264</v>
      </c>
      <c r="F65">
        <v>445</v>
      </c>
      <c r="G65" t="s">
        <v>263</v>
      </c>
    </row>
    <row r="66" spans="1:7" x14ac:dyDescent="0.75">
      <c r="A66" t="s">
        <v>118</v>
      </c>
      <c r="B66" t="s">
        <v>130</v>
      </c>
      <c r="C66" t="s">
        <v>133</v>
      </c>
      <c r="D66" t="s">
        <v>134</v>
      </c>
      <c r="E66" t="s">
        <v>265</v>
      </c>
      <c r="F66" s="6">
        <v>35300</v>
      </c>
      <c r="G66" t="s">
        <v>274</v>
      </c>
    </row>
    <row r="67" spans="1:7" x14ac:dyDescent="0.75">
      <c r="A67" t="s">
        <v>118</v>
      </c>
      <c r="B67" t="s">
        <v>130</v>
      </c>
      <c r="C67" t="s">
        <v>135</v>
      </c>
      <c r="D67" t="s">
        <v>136</v>
      </c>
      <c r="E67" s="3" t="s">
        <v>211</v>
      </c>
      <c r="F67" s="3">
        <v>5.52</v>
      </c>
      <c r="G67" s="3" t="s">
        <v>275</v>
      </c>
    </row>
    <row r="68" spans="1:7" x14ac:dyDescent="0.75">
      <c r="A68" t="s">
        <v>118</v>
      </c>
      <c r="B68" t="s">
        <v>130</v>
      </c>
      <c r="C68" t="s">
        <v>137</v>
      </c>
      <c r="D68" t="s">
        <v>138</v>
      </c>
      <c r="E68" t="s">
        <v>194</v>
      </c>
      <c r="F68">
        <v>2.13</v>
      </c>
      <c r="G68" t="s">
        <v>276</v>
      </c>
    </row>
    <row r="69" spans="1:7" x14ac:dyDescent="0.75">
      <c r="A69" t="s">
        <v>118</v>
      </c>
      <c r="B69" t="s">
        <v>130</v>
      </c>
      <c r="C69" t="s">
        <v>139</v>
      </c>
      <c r="D69" t="s">
        <v>140</v>
      </c>
      <c r="E69" s="3" t="s">
        <v>278</v>
      </c>
      <c r="F69" s="3">
        <v>12.5</v>
      </c>
      <c r="G69" s="3" t="s">
        <v>277</v>
      </c>
    </row>
    <row r="70" spans="1:7" x14ac:dyDescent="0.75">
      <c r="A70" t="s">
        <v>118</v>
      </c>
      <c r="B70" t="s">
        <v>130</v>
      </c>
      <c r="C70" t="s">
        <v>141</v>
      </c>
      <c r="D70" t="s">
        <v>142</v>
      </c>
      <c r="E70" t="s">
        <v>266</v>
      </c>
      <c r="F70">
        <v>1.64</v>
      </c>
      <c r="G70" t="s">
        <v>279</v>
      </c>
    </row>
    <row r="71" spans="1:7" x14ac:dyDescent="0.75">
      <c r="A71" t="s">
        <v>118</v>
      </c>
      <c r="B71" t="s">
        <v>130</v>
      </c>
      <c r="C71" t="s">
        <v>143</v>
      </c>
      <c r="D71" t="s">
        <v>144</v>
      </c>
      <c r="E71" t="s">
        <v>267</v>
      </c>
      <c r="F71" s="6">
        <v>24900</v>
      </c>
      <c r="G71" t="s">
        <v>280</v>
      </c>
    </row>
    <row r="72" spans="1:7" x14ac:dyDescent="0.75">
      <c r="A72" t="s">
        <v>118</v>
      </c>
      <c r="B72" t="s">
        <v>130</v>
      </c>
      <c r="C72" t="s">
        <v>145</v>
      </c>
      <c r="D72" t="s">
        <v>146</v>
      </c>
      <c r="E72" t="s">
        <v>268</v>
      </c>
      <c r="F72" s="6">
        <v>28100</v>
      </c>
      <c r="G72" t="s">
        <v>281</v>
      </c>
    </row>
    <row r="73" spans="1:7" x14ac:dyDescent="0.75">
      <c r="A73" t="s">
        <v>118</v>
      </c>
      <c r="B73" t="s">
        <v>130</v>
      </c>
      <c r="C73" t="s">
        <v>147</v>
      </c>
      <c r="D73" t="s">
        <v>148</v>
      </c>
      <c r="E73" t="s">
        <v>269</v>
      </c>
      <c r="F73">
        <v>32.1</v>
      </c>
      <c r="G73" t="s">
        <v>282</v>
      </c>
    </row>
    <row r="74" spans="1:7" x14ac:dyDescent="0.75">
      <c r="A74" t="s">
        <v>118</v>
      </c>
      <c r="B74" t="s">
        <v>130</v>
      </c>
      <c r="C74" t="s">
        <v>149</v>
      </c>
      <c r="D74" t="s">
        <v>150</v>
      </c>
      <c r="E74" t="s">
        <v>270</v>
      </c>
      <c r="F74">
        <v>27</v>
      </c>
      <c r="G74" t="s">
        <v>283</v>
      </c>
    </row>
    <row r="75" spans="1:7" x14ac:dyDescent="0.75">
      <c r="A75" t="s">
        <v>118</v>
      </c>
      <c r="B75" t="s">
        <v>130</v>
      </c>
      <c r="C75" t="s">
        <v>151</v>
      </c>
      <c r="D75" t="s">
        <v>152</v>
      </c>
      <c r="E75" t="s">
        <v>284</v>
      </c>
      <c r="F75">
        <v>0.29399999999999998</v>
      </c>
      <c r="G75" t="s">
        <v>285</v>
      </c>
    </row>
    <row r="76" spans="1:7" x14ac:dyDescent="0.75">
      <c r="A76" t="s">
        <v>118</v>
      </c>
      <c r="B76" t="s">
        <v>130</v>
      </c>
      <c r="C76" t="s">
        <v>153</v>
      </c>
      <c r="D76" t="s">
        <v>154</v>
      </c>
      <c r="E76" t="s">
        <v>244</v>
      </c>
      <c r="F76">
        <v>1.24</v>
      </c>
      <c r="G76" t="s">
        <v>243</v>
      </c>
    </row>
    <row r="77" spans="1:7" x14ac:dyDescent="0.75">
      <c r="A77" t="s">
        <v>118</v>
      </c>
      <c r="B77" t="s">
        <v>130</v>
      </c>
      <c r="C77" t="s">
        <v>155</v>
      </c>
      <c r="D77" t="s">
        <v>156</v>
      </c>
      <c r="E77" s="7" t="s">
        <v>271</v>
      </c>
      <c r="F77" s="7">
        <v>45</v>
      </c>
      <c r="G77" s="9" t="s">
        <v>286</v>
      </c>
    </row>
    <row r="78" spans="1:7" x14ac:dyDescent="0.75">
      <c r="A78" t="s">
        <v>118</v>
      </c>
      <c r="B78" t="s">
        <v>130</v>
      </c>
      <c r="C78" t="s">
        <v>157</v>
      </c>
      <c r="D78" t="s">
        <v>158</v>
      </c>
      <c r="E78" t="s">
        <v>249</v>
      </c>
      <c r="F78">
        <v>16.7</v>
      </c>
      <c r="G78" t="s">
        <v>287</v>
      </c>
    </row>
    <row r="79" spans="1:7" x14ac:dyDescent="0.75">
      <c r="A79" t="s">
        <v>118</v>
      </c>
      <c r="B79" t="s">
        <v>130</v>
      </c>
      <c r="C79" t="s">
        <v>159</v>
      </c>
      <c r="D79" t="s">
        <v>160</v>
      </c>
      <c r="E79" t="s">
        <v>272</v>
      </c>
      <c r="F79">
        <v>5.62</v>
      </c>
      <c r="G79" t="s">
        <v>288</v>
      </c>
    </row>
    <row r="80" spans="1:7" x14ac:dyDescent="0.75">
      <c r="A80" t="s">
        <v>118</v>
      </c>
      <c r="B80" t="s">
        <v>130</v>
      </c>
      <c r="C80" t="s">
        <v>161</v>
      </c>
      <c r="D80" t="s">
        <v>162</v>
      </c>
      <c r="E80" t="s">
        <v>273</v>
      </c>
      <c r="F80" s="6">
        <v>118000</v>
      </c>
      <c r="G80" t="s">
        <v>289</v>
      </c>
    </row>
    <row r="81" spans="1:17" x14ac:dyDescent="0.75">
      <c r="A81" t="s">
        <v>118</v>
      </c>
      <c r="B81" t="s">
        <v>130</v>
      </c>
      <c r="C81" t="s">
        <v>163</v>
      </c>
      <c r="D81" t="s">
        <v>164</v>
      </c>
      <c r="E81" s="7" t="s">
        <v>164</v>
      </c>
      <c r="F81" s="7">
        <f>107000*0.86</f>
        <v>92020</v>
      </c>
      <c r="G81" s="7" t="s">
        <v>294</v>
      </c>
      <c r="Q81" t="s">
        <v>295</v>
      </c>
    </row>
    <row r="82" spans="1:17" x14ac:dyDescent="0.75">
      <c r="A82" t="s">
        <v>118</v>
      </c>
      <c r="B82" t="s">
        <v>130</v>
      </c>
      <c r="C82" t="s">
        <v>165</v>
      </c>
      <c r="D82" t="s">
        <v>166</v>
      </c>
      <c r="E82" s="7" t="s">
        <v>166</v>
      </c>
      <c r="F82" s="7">
        <f>10300*0.86</f>
        <v>8858</v>
      </c>
      <c r="G82" s="7" t="s">
        <v>294</v>
      </c>
      <c r="Q82" t="s">
        <v>295</v>
      </c>
    </row>
    <row r="83" spans="1:17" x14ac:dyDescent="0.75">
      <c r="A83" t="s">
        <v>118</v>
      </c>
      <c r="B83" t="s">
        <v>130</v>
      </c>
      <c r="C83" t="s">
        <v>167</v>
      </c>
      <c r="D83" t="s">
        <v>168</v>
      </c>
      <c r="E83" t="s">
        <v>290</v>
      </c>
      <c r="F83">
        <v>49.5</v>
      </c>
      <c r="G83" t="s">
        <v>291</v>
      </c>
    </row>
    <row r="84" spans="1:17" x14ac:dyDescent="0.75">
      <c r="A84" t="s">
        <v>169</v>
      </c>
      <c r="B84" t="s">
        <v>170</v>
      </c>
      <c r="C84" s="12" t="s">
        <v>171</v>
      </c>
      <c r="D84" t="s">
        <v>172</v>
      </c>
      <c r="F84">
        <v>24609920</v>
      </c>
      <c r="G84" t="s">
        <v>299</v>
      </c>
    </row>
    <row r="85" spans="1:17" x14ac:dyDescent="0.75">
      <c r="A85" t="s">
        <v>169</v>
      </c>
      <c r="B85" t="s">
        <v>173</v>
      </c>
      <c r="C85" s="12" t="s">
        <v>174</v>
      </c>
      <c r="D85" t="s">
        <v>175</v>
      </c>
      <c r="E85" t="s">
        <v>300</v>
      </c>
      <c r="F85">
        <v>0.24</v>
      </c>
      <c r="G85" t="s">
        <v>301</v>
      </c>
    </row>
    <row r="86" spans="1:17" x14ac:dyDescent="0.75">
      <c r="A86" t="s">
        <v>169</v>
      </c>
      <c r="B86" t="s">
        <v>176</v>
      </c>
      <c r="C86" t="s">
        <v>177</v>
      </c>
      <c r="D86" t="s">
        <v>178</v>
      </c>
      <c r="E86" s="7" t="s">
        <v>178</v>
      </c>
      <c r="F86" s="8">
        <f>AVERAGE(F81:F82,F71:F72,F80)</f>
        <v>54375.6</v>
      </c>
      <c r="G86" s="7" t="s">
        <v>296</v>
      </c>
    </row>
    <row r="87" spans="1:17" x14ac:dyDescent="0.75">
      <c r="A87" t="s">
        <v>169</v>
      </c>
      <c r="B87" t="s">
        <v>179</v>
      </c>
      <c r="C87" t="s">
        <v>180</v>
      </c>
      <c r="D87" t="s">
        <v>181</v>
      </c>
      <c r="E87" s="3" t="s">
        <v>255</v>
      </c>
      <c r="F87" s="3">
        <v>8.6900000000000005E-2</v>
      </c>
      <c r="G87" s="3" t="s">
        <v>256</v>
      </c>
    </row>
  </sheetData>
  <mergeCells count="4">
    <mergeCell ref="A63:A64"/>
    <mergeCell ref="B63:B64"/>
    <mergeCell ref="C63:C64"/>
    <mergeCell ref="D63:D64"/>
  </mergeCells>
  <hyperlinks>
    <hyperlink ref="G3" r:id="rId1" xr:uid="{9B08079F-6631-49A5-8047-874B0E998448}"/>
    <hyperlink ref="G2" r:id="rId2" xr:uid="{35F0F8F7-3B8A-4F48-9FD2-3B400F5BB734}"/>
    <hyperlink ref="G4" r:id="rId3" xr:uid="{4712B6E7-5EED-4DFF-B5FD-32FE0B54F5B4}"/>
    <hyperlink ref="G5" r:id="rId4" xr:uid="{C7F2CD44-015A-454D-BCA9-240DB7DDC922}"/>
    <hyperlink ref="G6" r:id="rId5" xr:uid="{80AC76BE-D6C1-494A-B6A4-50B84FF949CA}"/>
    <hyperlink ref="G10" r:id="rId6" xr:uid="{4DD938DE-8948-47A8-8630-85DF0C972A5C}"/>
    <hyperlink ref="G46" r:id="rId7" xr:uid="{523F7310-806C-481A-85FF-51B7F8B8EAAB}"/>
    <hyperlink ref="G9" r:id="rId8" xr:uid="{FBACBB21-1F5D-43E9-901F-3651F9F72D65}"/>
    <hyperlink ref="G77" r:id="rId9" location=":~:text=Currently%2C%20niobium%20prices%20range%20from,specialised%20products%20realise%20higher%20prices." xr:uid="{611CE029-EF7F-449F-AF7D-ADEC470297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Wälty, Severin</cp:lastModifiedBy>
  <dcterms:created xsi:type="dcterms:W3CDTF">2022-07-13T15:54:36Z</dcterms:created>
  <dcterms:modified xsi:type="dcterms:W3CDTF">2025-11-20T09:58:47Z</dcterms:modified>
</cp:coreProperties>
</file>