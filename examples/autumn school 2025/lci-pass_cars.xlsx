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02"/>
  <workbookPr defaultThemeVersion="124226"/>
  <mc:AlternateContent xmlns:mc="http://schemas.openxmlformats.org/markup-compatibility/2006">
    <mc:Choice Requires="x15">
      <x15ac:absPath xmlns:x15ac="http://schemas.microsoft.com/office/spreadsheetml/2010/11/ac" url="/Users/romain/GitHub/edges/examples/autumn school 2025/"/>
    </mc:Choice>
  </mc:AlternateContent>
  <xr:revisionPtr revIDLastSave="0" documentId="13_ncr:1_{5387B714-E4E7-3746-834E-04CD91A5ECAA}" xr6:coauthVersionLast="47" xr6:coauthVersionMax="47" xr10:uidLastSave="{00000000-0000-0000-0000-000000000000}"/>
  <bookViews>
    <workbookView xWindow="2480" yWindow="760" windowWidth="25820" windowHeight="18880" xr2:uid="{00000000-000D-0000-FFFF-FFFF00000000}"/>
  </bookViews>
  <sheets>
    <sheet name="test" sheetId="1" r:id="rId1"/>
  </sheets>
  <definedNames>
    <definedName name="_xlnm._FilterDatabase" localSheetId="0" hidden="1">test!$A$1:$I$5225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211" i="1" l="1"/>
  <c r="B5184" i="1"/>
  <c r="B5156" i="1"/>
  <c r="B5129" i="1"/>
  <c r="B5070" i="1"/>
  <c r="B5040" i="1"/>
  <c r="B5011" i="1"/>
  <c r="B4981" i="1"/>
  <c r="B4952" i="1"/>
  <c r="B4606" i="1"/>
  <c r="B4579" i="1"/>
  <c r="B4551" i="1"/>
  <c r="B4524" i="1"/>
  <c r="B4465" i="1"/>
  <c r="B4435" i="1"/>
  <c r="B4406" i="1"/>
  <c r="B4376" i="1"/>
  <c r="B4347" i="1"/>
  <c r="B4001" i="1"/>
  <c r="B3974" i="1"/>
  <c r="B3946" i="1"/>
  <c r="B3919" i="1"/>
  <c r="B3860" i="1"/>
  <c r="B3830" i="1"/>
  <c r="B3801" i="1"/>
  <c r="B3771" i="1"/>
  <c r="B3742" i="1"/>
  <c r="B3367" i="1"/>
  <c r="B3340" i="1"/>
  <c r="B3312" i="1"/>
  <c r="B3285" i="1"/>
  <c r="B3226" i="1"/>
  <c r="B3196" i="1"/>
  <c r="B3167" i="1"/>
  <c r="B3137" i="1"/>
  <c r="B3108" i="1"/>
  <c r="B2762" i="1"/>
  <c r="B2735" i="1"/>
  <c r="B2707" i="1"/>
  <c r="B2680" i="1"/>
  <c r="B2621" i="1"/>
  <c r="B2592" i="1"/>
  <c r="B2563" i="1"/>
  <c r="B2533" i="1"/>
  <c r="B2504" i="1"/>
  <c r="B2158" i="1"/>
  <c r="B2131" i="1"/>
  <c r="B2103" i="1"/>
  <c r="B2076" i="1"/>
  <c r="B2017" i="1"/>
  <c r="B1987" i="1"/>
  <c r="B1958" i="1"/>
  <c r="B1928" i="1"/>
  <c r="B1553" i="1"/>
  <c r="B1526" i="1"/>
  <c r="B1498" i="1"/>
  <c r="B1471" i="1"/>
  <c r="B1412" i="1"/>
  <c r="B1382" i="1"/>
  <c r="B1353" i="1"/>
  <c r="B1323" i="1"/>
  <c r="B1294" i="1"/>
  <c r="B948" i="1"/>
  <c r="B921" i="1"/>
  <c r="B893" i="1"/>
  <c r="B866" i="1"/>
  <c r="B807" i="1"/>
  <c r="B777" i="1"/>
  <c r="B748" i="1"/>
  <c r="B718" i="1"/>
  <c r="B689" i="1"/>
  <c r="R219" i="1" l="1"/>
  <c r="J219" i="1"/>
  <c r="R218" i="1"/>
  <c r="J218" i="1"/>
  <c r="R217" i="1"/>
  <c r="J217" i="1"/>
  <c r="R204" i="1"/>
  <c r="J204" i="1"/>
  <c r="R203" i="1"/>
  <c r="J203" i="1"/>
  <c r="R202" i="1"/>
  <c r="J202" i="1"/>
  <c r="R201" i="1"/>
  <c r="J201" i="1"/>
  <c r="R200" i="1"/>
  <c r="J200" i="1"/>
  <c r="R199" i="1"/>
  <c r="J199" i="1"/>
  <c r="R198" i="1"/>
  <c r="J198" i="1"/>
  <c r="R197" i="1"/>
  <c r="B197" i="1"/>
  <c r="J197" i="1" s="1"/>
  <c r="R196" i="1"/>
  <c r="J196" i="1"/>
  <c r="R195" i="1"/>
  <c r="J195" i="1"/>
  <c r="G194" i="1"/>
  <c r="G217" i="1" s="1"/>
  <c r="A194" i="1"/>
  <c r="A217" i="1" s="1"/>
  <c r="R182" i="1"/>
  <c r="J182" i="1"/>
  <c r="R181" i="1"/>
  <c r="J181" i="1"/>
  <c r="R180" i="1"/>
  <c r="J180" i="1"/>
  <c r="R179" i="1"/>
  <c r="J179" i="1"/>
  <c r="R178" i="1"/>
  <c r="J178" i="1"/>
  <c r="R177" i="1"/>
  <c r="J177" i="1"/>
  <c r="R176" i="1"/>
  <c r="J176" i="1"/>
  <c r="R175" i="1"/>
  <c r="J175" i="1"/>
  <c r="R174" i="1"/>
  <c r="J174" i="1"/>
  <c r="R173" i="1"/>
  <c r="J173" i="1"/>
  <c r="R172" i="1"/>
  <c r="J172" i="1"/>
  <c r="R171" i="1"/>
  <c r="J171" i="1"/>
  <c r="R170" i="1"/>
  <c r="J170" i="1"/>
  <c r="R169" i="1"/>
  <c r="J169" i="1"/>
  <c r="R168" i="1"/>
  <c r="J168" i="1"/>
  <c r="R167" i="1"/>
  <c r="J167" i="1"/>
  <c r="R166" i="1"/>
  <c r="J166" i="1"/>
  <c r="R165" i="1"/>
  <c r="J165" i="1"/>
  <c r="R164" i="1"/>
  <c r="J164" i="1"/>
  <c r="R163" i="1"/>
  <c r="J163" i="1"/>
  <c r="R162" i="1"/>
  <c r="J162" i="1"/>
  <c r="R161" i="1"/>
  <c r="J161" i="1"/>
  <c r="R160" i="1"/>
  <c r="J160" i="1"/>
  <c r="G159" i="1"/>
  <c r="G202" i="1" s="1"/>
  <c r="A159" i="1"/>
  <c r="A202" i="1" s="1"/>
  <c r="R147" i="1"/>
  <c r="J147" i="1"/>
  <c r="R146" i="1"/>
  <c r="J146" i="1"/>
  <c r="R145" i="1"/>
  <c r="B145" i="1"/>
  <c r="J145" i="1" s="1"/>
  <c r="R144" i="1"/>
  <c r="J144" i="1"/>
  <c r="R143" i="1"/>
  <c r="J143" i="1"/>
  <c r="R142" i="1"/>
  <c r="J142" i="1"/>
  <c r="R141" i="1"/>
  <c r="J141" i="1"/>
  <c r="R140" i="1"/>
  <c r="J140" i="1"/>
  <c r="R127" i="1"/>
  <c r="J127" i="1"/>
  <c r="B127" i="1"/>
  <c r="R126" i="1"/>
  <c r="J126" i="1"/>
  <c r="R125" i="1"/>
  <c r="J125" i="1"/>
  <c r="R124" i="1"/>
  <c r="J124" i="1"/>
  <c r="R123" i="1"/>
  <c r="J123" i="1"/>
  <c r="R110" i="1"/>
  <c r="J110" i="1"/>
  <c r="R109" i="1"/>
  <c r="J109" i="1"/>
  <c r="R108" i="1"/>
  <c r="J108" i="1"/>
  <c r="R107" i="1"/>
  <c r="J107" i="1"/>
  <c r="R106" i="1"/>
  <c r="J106" i="1"/>
  <c r="R105" i="1"/>
  <c r="J105" i="1"/>
  <c r="G104" i="1"/>
  <c r="G181" i="1" s="1"/>
  <c r="A104" i="1"/>
  <c r="R92" i="1"/>
  <c r="J92" i="1"/>
  <c r="R91" i="1"/>
  <c r="J91" i="1"/>
  <c r="R90" i="1"/>
  <c r="J90" i="1"/>
  <c r="R89" i="1"/>
  <c r="J89" i="1"/>
  <c r="R88" i="1"/>
  <c r="J88" i="1"/>
  <c r="R87" i="1"/>
  <c r="J87" i="1"/>
  <c r="R86" i="1"/>
  <c r="J86" i="1"/>
  <c r="R85" i="1"/>
  <c r="J85" i="1"/>
  <c r="R84" i="1"/>
  <c r="J84" i="1"/>
  <c r="G83" i="1"/>
  <c r="G110" i="1" s="1"/>
  <c r="A83" i="1"/>
  <c r="A110" i="1" s="1"/>
  <c r="R71" i="1"/>
  <c r="J71" i="1"/>
  <c r="R70" i="1"/>
  <c r="J70" i="1"/>
  <c r="R69" i="1"/>
  <c r="J69" i="1"/>
  <c r="R68" i="1"/>
  <c r="J68" i="1"/>
  <c r="R67" i="1"/>
  <c r="J67" i="1"/>
  <c r="R66" i="1"/>
  <c r="J66" i="1"/>
  <c r="R65" i="1"/>
  <c r="J65" i="1"/>
  <c r="R64" i="1"/>
  <c r="J64" i="1"/>
  <c r="R63" i="1"/>
  <c r="J63" i="1"/>
  <c r="R62" i="1"/>
  <c r="J62" i="1"/>
  <c r="R61" i="1"/>
  <c r="J61" i="1"/>
  <c r="R60" i="1"/>
  <c r="J60" i="1"/>
  <c r="R59" i="1"/>
  <c r="J59" i="1"/>
  <c r="R58" i="1"/>
  <c r="J58" i="1"/>
  <c r="R57" i="1"/>
  <c r="J57" i="1"/>
  <c r="R56" i="1"/>
  <c r="J56" i="1"/>
  <c r="R55" i="1"/>
  <c r="J55" i="1"/>
  <c r="R54" i="1"/>
  <c r="J54" i="1"/>
  <c r="R53" i="1"/>
  <c r="J53" i="1"/>
  <c r="R52" i="1"/>
  <c r="B52" i="1"/>
  <c r="J52" i="1" s="1"/>
  <c r="R51" i="1"/>
  <c r="J51" i="1"/>
  <c r="R50" i="1"/>
  <c r="J50" i="1"/>
  <c r="R49" i="1"/>
  <c r="B49" i="1"/>
  <c r="J49" i="1" s="1"/>
  <c r="A48" i="1"/>
  <c r="A84" i="1" s="1"/>
  <c r="B34" i="1"/>
  <c r="B19" i="1"/>
  <c r="B18" i="1"/>
  <c r="B17" i="1"/>
  <c r="A13" i="1"/>
</calcChain>
</file>

<file path=xl/sharedStrings.xml><?xml version="1.0" encoding="utf-8"?>
<sst xmlns="http://schemas.openxmlformats.org/spreadsheetml/2006/main" count="21332" uniqueCount="612">
  <si>
    <t>Database</t>
  </si>
  <si>
    <t>lci-pass_cars</t>
  </si>
  <si>
    <t>format</t>
  </si>
  <si>
    <t>Excel spreadsheet</t>
  </si>
  <si>
    <t>Activity</t>
  </si>
  <si>
    <t>location</t>
  </si>
  <si>
    <t>production amount</t>
  </si>
  <si>
    <t>reference product</t>
  </si>
  <si>
    <t>type</t>
  </si>
  <si>
    <t>process</t>
  </si>
  <si>
    <t>unit</t>
  </si>
  <si>
    <t>worksheet name</t>
  </si>
  <si>
    <t>None</t>
  </si>
  <si>
    <t>source</t>
  </si>
  <si>
    <t>description</t>
  </si>
  <si>
    <t/>
  </si>
  <si>
    <t>special remark</t>
  </si>
  <si>
    <t>comment</t>
  </si>
  <si>
    <t>Exchanges</t>
  </si>
  <si>
    <t>name</t>
  </si>
  <si>
    <t>amount</t>
  </si>
  <si>
    <t>database</t>
  </si>
  <si>
    <t>categories</t>
  </si>
  <si>
    <t>tag</t>
  </si>
  <si>
    <t>production</t>
  </si>
  <si>
    <t>other</t>
  </si>
  <si>
    <t>RER</t>
  </si>
  <si>
    <t>kilogram</t>
  </si>
  <si>
    <t>technosphere</t>
  </si>
  <si>
    <t>energy chain</t>
  </si>
  <si>
    <t>air</t>
  </si>
  <si>
    <t>biosphere</t>
  </si>
  <si>
    <t>Nitrogen oxides</t>
  </si>
  <si>
    <t>GLO</t>
  </si>
  <si>
    <t>energy storage</t>
  </si>
  <si>
    <t>Europe without Switzerland</t>
  </si>
  <si>
    <t>Carbon dioxide, fossil</t>
  </si>
  <si>
    <t>RoW</t>
  </si>
  <si>
    <t>ton kilometer</t>
  </si>
  <si>
    <t>kilowatt hour</t>
  </si>
  <si>
    <t>market for injection moulding</t>
  </si>
  <si>
    <t>injection moulding</t>
  </si>
  <si>
    <t>market for natural gas, medium pressure, vehicle grade</t>
  </si>
  <si>
    <t>natural gas, medium pressure, vehicle grade</t>
  </si>
  <si>
    <t>market for transport, freight, lorry, unspecified</t>
  </si>
  <si>
    <t>Buffer tank</t>
  </si>
  <si>
    <t>Simons, A. and Bauer, C. (2015). A life-cycle perspective on automotive fuel cells, Applied Energy, doi:10.1016/j.apenergy.2015.02.049</t>
  </si>
  <si>
    <t>market for sheet rolling, chromium steel</t>
  </si>
  <si>
    <t>sheet rolling, chromium steel</t>
  </si>
  <si>
    <t>market for steel, chromium steel 18/8, hot rolled</t>
  </si>
  <si>
    <t>steel, chromium steel 18/8, hot rolled</t>
  </si>
  <si>
    <t>market for welding, arc, steel</t>
  </si>
  <si>
    <t>meter</t>
  </si>
  <si>
    <t>welding, arc, steel</t>
  </si>
  <si>
    <t>polyethylene, high density, granulate</t>
  </si>
  <si>
    <t>metal working, average for chromium steel product manufacturing</t>
  </si>
  <si>
    <t>market group for electricity, low voltage</t>
  </si>
  <si>
    <t>ENTSO-E</t>
  </si>
  <si>
    <t>electricity, low voltage</t>
  </si>
  <si>
    <t>HDPE tank liner</t>
  </si>
  <si>
    <t>polyethylene production, high density, granulate</t>
  </si>
  <si>
    <t>Glider lightweighting</t>
  </si>
  <si>
    <t>glider</t>
  </si>
  <si>
    <t>CN</t>
  </si>
  <si>
    <t xml:space="preserve">Combustion engine power: 146 [kW]. Power share from combustion engine: 100 [%]. Km over lifetime: 200000 [km]. Yearly mileage: 12000 [km/year]. Autonomy on a full tank/battery: 814 [km]. Tank-to-wheel efficiency: 14 [%]. Tank-to-wheel energy consumption: 3747 [kj/km]. Fuel tank capacity: 847 [kWh]. Curb mass (excl. driver and cargo): 1828 [kg]. Driving mass (incl. driver and cargo): 1968 [kg]. </t>
  </si>
  <si>
    <t>Passenger car, EURO-2</t>
  </si>
  <si>
    <t xml:space="preserve">Combustion engine power: 145 [kW]. Power share from combustion engine: 100 [%]. Km over lifetime: 200000 [km]. Yearly mileage: 12000 [km/year]. Autonomy on a full tank/battery: 809 [km]. Tank-to-wheel efficiency: 15 [%]. Tank-to-wheel energy consumption: 3481 [kj/km]. Fuel tank capacity: 783 [kWh]. Curb mass (excl. driver and cargo): 1816 [kg]. Driving mass (incl. driver and cargo): 1956 [kg]. </t>
  </si>
  <si>
    <t>Passenger car, EURO-3</t>
  </si>
  <si>
    <t xml:space="preserve">Combustion engine power: 144 [kW]. Power share from combustion engine: 100 [%]. Km over lifetime: 200000 [km]. Yearly mileage: 12000 [km/year]. Autonomy on a full tank/battery: 801 [km]. Tank-to-wheel efficiency: 17 [%]. Tank-to-wheel energy consumption: 3227 [kj/km]. Fuel tank capacity: 718 [kWh]. Curb mass (excl. driver and cargo): 1805 [kg]. Driving mass (incl. driver and cargo): 1945 [kg]. </t>
  </si>
  <si>
    <t>Passenger car, EURO-4</t>
  </si>
  <si>
    <t xml:space="preserve">Combustion engine power: 143 [kW]. Power share from combustion engine: 100 [%]. Km over lifetime: 200000 [km]. Yearly mileage: 12000 [km/year]. Autonomy on a full tank/battery: 838 [km]. Tank-to-wheel efficiency: 19 [%]. Tank-to-wheel energy consumption: 2931 [kj/km]. Fuel tank capacity: 683 [kWh]. Curb mass (excl. driver and cargo): 1791 [kg]. Driving mass (incl. driver and cargo): 1931 [kg]. </t>
  </si>
  <si>
    <t>Passenger car, EURO-6ab</t>
  </si>
  <si>
    <t xml:space="preserve">Combustion engine power: 142 [kW]. Power share from combustion engine: 100 [%]. Km over lifetime: 200000 [km]. Yearly mileage: 12000 [km/year]. Autonomy on a full tank/battery: 874 [km]. Tank-to-wheel efficiency: 21 [%]. Tank-to-wheel energy consumption: 2665 [kj/km]. Fuel tank capacity: 647 [kWh]. Curb mass (excl. driver and cargo): 1777 [kg]. Driving mass (incl. driver and cargo): 1917 [kg]. </t>
  </si>
  <si>
    <t>Passenger car, EURO-6d</t>
  </si>
  <si>
    <t xml:space="preserve">Combustion engine power: 147 [kW]. Power share from combustion engine: 100 [%]. Km over lifetime: 200000 [km]. Yearly mileage: 12000 [km/year]. Autonomy on a full tank/battery: 784 [km]. Tank-to-wheel efficiency: 15 [%]. Tank-to-wheel energy consumption: 3491 [kj/km]. Fuel tank capacity: 760 [kWh]. Curb mass (excl. driver and cargo): 1838 [kg]. Driving mass (incl. driver and cargo): 1978 [kg]. </t>
  </si>
  <si>
    <t xml:space="preserve">Combustion engine power: 146 [kW]. Power share from combustion engine: 100 [%]. Km over lifetime: 200000 [km]. Yearly mileage: 12000 [km/year]. Autonomy on a full tank/battery: 810 [km]. Tank-to-wheel efficiency: 18 [%]. Tank-to-wheel energy consumption: 3140 [kj/km]. Fuel tank capacity: 707 [kWh]. Curb mass (excl. driver and cargo): 1829 [kg]. Driving mass (incl. driver and cargo): 1969 [kg]. </t>
  </si>
  <si>
    <t xml:space="preserve">Combustion engine power: 145 [kW]. Power share from combustion engine: 100 [%]. Km over lifetime: 200000 [km]. Yearly mileage: 12000 [km/year]. Autonomy on a full tank/battery: 835 [km]. Tank-to-wheel efficiency: 21 [%]. Tank-to-wheel energy consumption: 2818 [kj/km]. Fuel tank capacity: 653 [kWh]. Curb mass (excl. driver and cargo): 1819 [kg]. Driving mass (incl. driver and cargo): 1959 [kg]. </t>
  </si>
  <si>
    <t xml:space="preserve">Combustion engine power: 144 [kW]. Power share from combustion engine: 100 [%]. Km over lifetime: 200000 [km]. Yearly mileage: 12000 [km/year]. Autonomy on a full tank/battery: 910 [km]. Tank-to-wheel efficiency: 23 [%]. Tank-to-wheel energy consumption: 2586 [kj/km]. Fuel tank capacity: 653 [kWh]. Curb mass (excl. driver and cargo): 1811 [kg]. Driving mass (incl. driver and cargo): 1951 [kg]. </t>
  </si>
  <si>
    <t xml:space="preserve">Combustion engine power: 144 [kW]. Power share from combustion engine: 100 [%]. Km over lifetime: 200000 [km]. Yearly mileage: 12000 [km/year]. Autonomy on a full tank/battery: 988 [km]. Tank-to-wheel efficiency: 25 [%]. Tank-to-wheel energy consumption: 2380 [kj/km]. Fuel tank capacity: 653 [kWh]. Curb mass (excl. driver and cargo): 1803 [kg]. Driving mass (incl. driver and cargo): 1943 [kg]. </t>
  </si>
  <si>
    <t xml:space="preserve">Combustion engine power: 149 [kW]. Power share from combustion engine: 100 [%]. Km over lifetime: 200000 [km]. Yearly mileage: 12000 [km/year]. Autonomy on a full tank/battery: 523 [km]. Tank-to-wheel efficiency: 14 [%]. Tank-to-wheel energy consumption: 3712 [kj/km]. Fuel tank capacity: 539 [kWh]. Curb mass (excl. driver and cargo): 1864 [kg]. Driving mass (incl. driver and cargo): 2004 [kg]. </t>
  </si>
  <si>
    <t xml:space="preserve">Combustion engine power: 148 [kW]. Power share from combustion engine: 100 [%]. Km over lifetime: 200000 [km]. Yearly mileage: 12000 [km/year]. Autonomy on a full tank/battery: 525 [km]. Tank-to-wheel efficiency: 16 [%]. Tank-to-wheel energy consumption: 3481 [kj/km]. Fuel tank capacity: 508 [kWh]. Curb mass (excl. driver and cargo): 1855 [kg]. Driving mass (incl. driver and cargo): 1995 [kg]. </t>
  </si>
  <si>
    <t xml:space="preserve">Combustion engine power: 147 [kW]. Power share from combustion engine: 100 [%]. Km over lifetime: 200000 [km]. Yearly mileage: 12000 [km/year]. Autonomy on a full tank/battery: 527 [km]. Tank-to-wheel efficiency: 17 [%]. Tank-to-wheel energy consumption: 3262 [kj/km]. Fuel tank capacity: 477 [kWh]. Curb mass (excl. driver and cargo): 1846 [kg]. Driving mass (incl. driver and cargo): 1986 [kg]. </t>
  </si>
  <si>
    <t xml:space="preserve">Combustion engine power: 145 [kW]. Power share from combustion engine: 100 [%]. Km over lifetime: 200000 [km]. Yearly mileage: 12000 [km/year]. Autonomy on a full tank/battery: 514 [km]. Tank-to-wheel efficiency: 19 [%]. Tank-to-wheel energy consumption: 3001 [kj/km]. Fuel tank capacity: 428 [kWh]. Curb mass (excl. driver and cargo): 1823 [kg]. Driving mass (incl. driver and cargo): 1963 [kg]. </t>
  </si>
  <si>
    <t xml:space="preserve">Combustion engine power: 144 [kW]. Power share from combustion engine: 100 [%]. Km over lifetime: 200000 [km]. Yearly mileage: 12000 [km/year]. Autonomy on a full tank/battery: 494 [km]. Tank-to-wheel efficiency: 20 [%]. Tank-to-wheel energy consumption: 2762 [kj/km]. Fuel tank capacity: 379 [kWh]. Curb mass (excl. driver and cargo): 1801 [kg]. Driving mass (incl. driver and cargo): 1941 [kg]. </t>
  </si>
  <si>
    <t xml:space="preserve">Combustion engine power: 67 [kW]. Electric motor power: 94 [kW]. Power share from combustion engine: 42 [%]. Km over lifetime: 200000 [km]. Yearly mileage: 12000 [km/year]. Autonomy on a full tank/battery: 805 [km]. Tank-to-wheel efficiency: 45 [%]. Tank-to-wheel energy consumption: 1685 [kj/km]. Battery capacity: 9 [kWh]. Fuel tank capacity: 577 [kWh]. Mass of battery: 146 [kg]. Curb mass (excl. driver and cargo): 2027 [kg]. Driving mass (incl. driver and cargo): 2167 [kg]. </t>
  </si>
  <si>
    <t xml:space="preserve">Combustion engine power: 43 [kW]. Electric motor power: 119 [kW]. Power share from combustion engine: 27 [%]. Km over lifetime: 200000 [km]. Yearly mileage: 12000 [km/year]. Autonomy on a full tank/battery: 965 [km]. Tank-to-wheel efficiency: 55 [%]. Tank-to-wheel energy consumption: 1318 [kj/km]. Battery capacity: 15 [kWh]. Fuel tank capacity: 647 [kWh]. Mass of battery: 158 [kg]. Curb mass (excl. driver and cargo): 2030 [kg]. Driving mass (incl. driver and cargo): 2170 [kg]. </t>
  </si>
  <si>
    <t xml:space="preserve">Combustion engine power: 65 [kW]. Electric motor power: 94 [kW]. Power share from combustion engine: 42 [%]. Km over lifetime: 200000 [km]. Yearly mileage: 12000 [km/year]. Autonomy on a full tank/battery: 822 [km]. Tank-to-wheel efficiency: 45 [%]. Tank-to-wheel energy consumption: 1671 [kj/km]. Battery capacity: 9 [kWh]. Fuel tank capacity: 582 [kWh]. Mass of battery: 146 [kg]. Curb mass (excl. driver and cargo): 2006 [kg]. Driving mass (incl. driver and cargo): 2146 [kg]. </t>
  </si>
  <si>
    <t xml:space="preserve">Combustion engine power: 42 [kW]. Electric motor power: 119 [kW]. Power share from combustion engine: 27 [%]. Km over lifetime: 200000 [km]. Yearly mileage: 12000 [km/year]. Autonomy on a full tank/battery: 988 [km]. Tank-to-wheel efficiency: 55 [%]. Tank-to-wheel energy consumption: 1307 [kj/km]. Battery capacity: 15 [kWh]. Fuel tank capacity: 653 [kWh]. Mass of battery: 158 [kg]. Curb mass (excl. driver and cargo): 2017 [kg]. Driving mass (incl. driver and cargo): 2157 [kg]. </t>
  </si>
  <si>
    <t>Passenger car</t>
  </si>
  <si>
    <t xml:space="preserve">Electric motor power: 159 [kW]. Km over lifetime: 200000 [km]. Yearly mileage: 12000 [km/year]. Autonomy on a full tank/battery: 476 [km]. Tank-to-wheel efficiency: 38 [%]. Tank-to-wheel energy consumption: 1510 [kj/km]. Fuel cell system efficiency: 50 [%]. Fuel tank capacity: 200 [kWh]. Curb mass (excl. driver and cargo): 1990 [kg]. Driving mass (incl. driver and cargo): 2130 [kg]. </t>
  </si>
  <si>
    <t xml:space="preserve">Electric motor power: 152 [kW]. Km over lifetime: 200000 [km]. Yearly mileage: 12000 [km/year]. Autonomy on a full tank/battery: 265 [km]. Tank-to-wheel efficiency: 71 [%]. Tank-to-wheel energy consumption: 753 [kj/km]. Battery capacity: 69 [kWh]. Mass of battery: 580 [kg]. Curb mass (excl. driver and cargo): 1909 [kg]. Driving mass (incl. driver and cargo): 2049 [kg]. </t>
  </si>
  <si>
    <t xml:space="preserve">Combustion engine power: 110 [kW]. Electric motor power: 36 [kW]. Power share from combustion engine: 75 [%]. Km over lifetime: 200000 [km]. Yearly mileage: 12000 [km/year]. Autonomy on a full tank/battery: 774 [km]. Tank-to-wheel efficiency: 21 [%]. Tank-to-wheel energy consumption: 2599 [kj/km]. Fuel tank capacity: 559 [kWh]. Curb mass (excl. driver and cargo): 1837 [kg]. Driving mass (incl. driver and cargo): 1977 [kg]. </t>
  </si>
  <si>
    <t xml:space="preserve">Combustion engine power: 109 [kW]. Electric motor power: 36 [kW]. Power share from combustion engine: 75 [%]. Km over lifetime: 200000 [km]. Yearly mileage: 12000 [km/year]. Autonomy on a full tank/battery: 846 [km]. Tank-to-wheel efficiency: 25 [%]. Tank-to-wheel energy consumption: 2254 [kj/km]. Fuel tank capacity: 530 [kWh]. Curb mass (excl. driver and cargo): 1822 [kg]. Driving mass (incl. driver and cargo): 1962 [kg]. </t>
  </si>
  <si>
    <t xml:space="preserve">Combustion engine power: 110 [kW]. Electric motor power: 36 [kW]. Power share from combustion engine: 75 [%]. Km over lifetime: 200000 [km]. Yearly mileage: 12000 [km/year]. Autonomy on a full tank/battery: 906 [km]. Tank-to-wheel efficiency: 25 [%]. Tank-to-wheel energy consumption: 2243 [kj/km]. Fuel tank capacity: 564 [kWh]. Curb mass (excl. driver and cargo): 1837 [kg]. Driving mass (incl. driver and cargo): 1977 [kg]. </t>
  </si>
  <si>
    <t xml:space="preserve">Combustion engine power: 109 [kW]. Electric motor power: 36 [kW]. Power share from combustion engine: 75 [%]. Km over lifetime: 200000 [km]. Yearly mileage: 12000 [km/year]. Autonomy on a full tank/battery: 986 [km]. Tank-to-wheel efficiency: 29 [%]. Tank-to-wheel energy consumption: 1952 [kj/km]. Fuel tank capacity: 534 [kWh]. Curb mass (excl. driver and cargo): 1822 [kg]. Driving mass (incl. driver and cargo): 1962 [kg]. </t>
  </si>
  <si>
    <t xml:space="preserve">Combustion engine power: 161 [kW]. Power share from combustion engine: 100 [%]. Km over lifetime: 200000 [km]. Yearly mileage: 12000 [km/year]. Autonomy on a full tank/battery: 717 [km]. Tank-to-wheel efficiency: 15 [%]. Tank-to-wheel energy consumption: 4134 [kj/km]. Fuel tank capacity: 824 [kWh]. Curb mass (excl. driver and cargo): 2159 [kg]. Driving mass (incl. driver and cargo): 2299 [kg]. </t>
  </si>
  <si>
    <t xml:space="preserve">Combustion engine power: 160 [kW]. Power share from combustion engine: 100 [%]. Km over lifetime: 200000 [km]. Yearly mileage: 12000 [km/year]. Autonomy on a full tank/battery: 686 [km]. Tank-to-wheel efficiency: 16 [%]. Tank-to-wheel energy consumption: 3862 [kj/km]. Fuel tank capacity: 736 [kWh]. Curb mass (excl. driver and cargo): 2143 [kg]. Driving mass (incl. driver and cargo): 2283 [kg]. </t>
  </si>
  <si>
    <t xml:space="preserve">Combustion engine power: 159 [kW]. Power share from combustion engine: 100 [%]. Km over lifetime: 200000 [km]. Yearly mileage: 12000 [km/year]. Autonomy on a full tank/battery: 647 [km]. Tank-to-wheel efficiency: 18 [%]. Tank-to-wheel energy consumption: 3602 [kj/km]. Fuel tank capacity: 647 [kWh]. Curb mass (excl. driver and cargo): 2128 [kg]. Driving mass (incl. driver and cargo): 2268 [kg]. </t>
  </si>
  <si>
    <t xml:space="preserve">Combustion engine power: 158 [kW]. Power share from combustion engine: 100 [%]. Km over lifetime: 200000 [km]. Yearly mileage: 12000 [km/year]. Autonomy on a full tank/battery: 700 [km]. Tank-to-wheel efficiency: 19 [%]. Tank-to-wheel energy consumption: 3338 [kj/km]. Fuel tank capacity: 649 [kWh]. Curb mass (excl. driver and cargo): 2119 [kg]. Driving mass (incl. driver and cargo): 2259 [kg]. </t>
  </si>
  <si>
    <t xml:space="preserve">Combustion engine power: 158 [kW]. Power share from combustion engine: 100 [%]. Km over lifetime: 200000 [km]. Yearly mileage: 12000 [km/year]. Autonomy on a full tank/battery: 756 [km]. Tank-to-wheel efficiency: 21 [%]. Tank-to-wheel energy consumption: 3095 [kj/km]. Fuel tank capacity: 650 [kWh]. Curb mass (excl. driver and cargo): 2110 [kg]. Driving mass (incl. driver and cargo): 2250 [kg]. </t>
  </si>
  <si>
    <t xml:space="preserve">Combustion engine power: 162 [kW]. Power share from combustion engine: 100 [%]. Km over lifetime: 200000 [km]. Yearly mileage: 12000 [km/year]. Autonomy on a full tank/battery: 730 [km]. Tank-to-wheel efficiency: 18 [%]. Tank-to-wheel energy consumption: 3631 [kj/km]. Fuel tank capacity: 737 [kWh]. Curb mass (excl. driver and cargo): 2171 [kg]. Driving mass (incl. driver and cargo): 2311 [kg]. </t>
  </si>
  <si>
    <t xml:space="preserve">Combustion engine power: 162 [kW]. Power share from combustion engine: 100 [%]. Km over lifetime: 200000 [km]. Yearly mileage: 12000 [km/year]. Autonomy on a full tank/battery: 740 [km]. Tank-to-wheel efficiency: 20 [%]. Tank-to-wheel energy consumption: 3379 [kj/km]. Fuel tank capacity: 695 [kWh]. Curb mass (excl. driver and cargo): 2163 [kg]. Driving mass (incl. driver and cargo): 2303 [kg]. </t>
  </si>
  <si>
    <t xml:space="preserve">Combustion engine power: 161 [kW]. Power share from combustion engine: 100 [%]. Km over lifetime: 200000 [km]. Yearly mileage: 12000 [km/year]. Autonomy on a full tank/battery: 749 [km]. Tank-to-wheel efficiency: 22 [%]. Tank-to-wheel energy consumption: 3140 [kj/km]. Fuel tank capacity: 653 [kWh]. Curb mass (excl. driver and cargo): 2156 [kg]. Driving mass (incl. driver and cargo): 2296 [kg]. </t>
  </si>
  <si>
    <t xml:space="preserve">Combustion engine power: 161 [kW]. Power share from combustion engine: 100 [%]. Km over lifetime: 200000 [km]. Yearly mileage: 12000 [km/year]. Autonomy on a full tank/battery: 783 [km]. Tank-to-wheel efficiency: 23 [%]. Tank-to-wheel energy consumption: 3011 [kj/km]. Fuel tank capacity: 655 [kWh]. Curb mass (excl. driver and cargo): 2147 [kg]. Driving mass (incl. driver and cargo): 2287 [kg]. </t>
  </si>
  <si>
    <t xml:space="preserve">Combustion engine power: 160 [kW]. Power share from combustion engine: 100 [%]. Km over lifetime: 200000 [km]. Yearly mileage: 12000 [km/year]. Autonomy on a full tank/battery: 819 [km]. Tank-to-wheel efficiency: 23 [%]. Tank-to-wheel energy consumption: 2887 [kj/km]. Fuel tank capacity: 656 [kWh]. Curb mass (excl. driver and cargo): 2138 [kg]. Driving mass (incl. driver and cargo): 2278 [kg]. </t>
  </si>
  <si>
    <t xml:space="preserve">Combustion engine power: 165 [kW]. Power share from combustion engine: 100 [%]. Km over lifetime: 200000 [km]. Yearly mileage: 12000 [km/year]. Autonomy on a full tank/battery: 462 [km]. Tank-to-wheel efficiency: 14 [%]. Tank-to-wheel energy consumption: 4317 [kj/km]. Fuel tank capacity: 555 [kWh]. Curb mass (excl. driver and cargo): 2203 [kg]. Driving mass (incl. driver and cargo): 2343 [kg]. </t>
  </si>
  <si>
    <t xml:space="preserve">Combustion engine power: 164 [kW]. Power share from combustion engine: 100 [%]. Km over lifetime: 200000 [km]. Yearly mileage: 12000 [km/year]. Autonomy on a full tank/battery: 466 [km]. Tank-to-wheel efficiency: 16 [%]. Tank-to-wheel energy consumption: 4045 [kj/km]. Fuel tank capacity: 524 [kWh]. Curb mass (excl. driver and cargo): 2194 [kg]. Driving mass (incl. driver and cargo): 2334 [kg]. </t>
  </si>
  <si>
    <t xml:space="preserve">Combustion engine power: 163 [kW]. Power share from combustion engine: 100 [%]. Km over lifetime: 200000 [km]. Yearly mileage: 12000 [km/year]. Autonomy on a full tank/battery: 469 [km]. Tank-to-wheel efficiency: 17 [%]. Tank-to-wheel energy consumption: 3786 [kj/km]. Fuel tank capacity: 493 [kWh]. Curb mass (excl. driver and cargo): 2185 [kg]. Driving mass (incl. driver and cargo): 2325 [kg]. </t>
  </si>
  <si>
    <t xml:space="preserve">Combustion engine power: 161 [kW]. Power share from combustion engine: 100 [%]. Km over lifetime: 200000 [km]. Yearly mileage: 12000 [km/year]. Autonomy on a full tank/battery: 451 [km]. Tank-to-wheel efficiency: 19 [%]. Tank-to-wheel energy consumption: 3479 [kj/km]. Fuel tank capacity: 436 [kWh]. Curb mass (excl. driver and cargo): 2159 [kg]. Driving mass (incl. driver and cargo): 2299 [kg]. </t>
  </si>
  <si>
    <t xml:space="preserve">Combustion engine power: 160 [kW]. Power share from combustion engine: 100 [%]. Km over lifetime: 200000 [km]. Yearly mileage: 12000 [km/year]. Autonomy on a full tank/battery: 427 [km]. Tank-to-wheel efficiency: 20 [%]. Tank-to-wheel energy consumption: 3200 [kj/km]. Fuel tank capacity: 379 [kWh]. Curb mass (excl. driver and cargo): 2134 [kg]. Driving mass (incl. driver and cargo): 2274 [kg]. </t>
  </si>
  <si>
    <t xml:space="preserve">Combustion engine power: 83 [kW]. Electric motor power: 93 [kW]. Power share from combustion engine: 48 [%]. Km over lifetime: 200000 [km]. Yearly mileage: 12000 [km/year]. Autonomy on a full tank/battery: 700 [km]. Tank-to-wheel efficiency: 43 [%]. Tank-to-wheel energy consumption: 2045 [kj/km]. Battery capacity: 8 [kWh]. Fuel tank capacity: 572 [kWh]. Mass of battery: 141 [kg]. Curb mass (excl. driver and cargo): 2358 [kg]. Driving mass (incl. driver and cargo): 2498 [kg]. </t>
  </si>
  <si>
    <t xml:space="preserve">Combustion engine power: 56 [kW]. Electric motor power: 120 [kW]. Power share from combustion engine: 32 [%]. Km over lifetime: 200000 [km]. Yearly mileage: 12000 [km/year]. Autonomy on a full tank/battery: 834 [km]. Tank-to-wheel efficiency: 53 [%]. Tank-to-wheel energy consumption: 1635 [kj/km]. Battery capacity: 14 [kWh]. Fuel tank capacity: 650 [kWh]. Mass of battery: 153 [kg]. Curb mass (excl. driver and cargo): 2360 [kg]. Driving mass (incl. driver and cargo): 2500 [kg]. </t>
  </si>
  <si>
    <t xml:space="preserve">Combustion engine power: 82 [kW]. Electric motor power: 93 [kW]. Power share from combustion engine: 48 [%]. Km over lifetime: 200000 [km]. Yearly mileage: 12000 [km/year]. Autonomy on a full tank/battery: 715 [km]. Tank-to-wheel efficiency: 43 [%]. Tank-to-wheel energy consumption: 2024 [kj/km]. Battery capacity: 8 [kWh]. Fuel tank capacity: 578 [kWh]. Mass of battery: 141 [kg]. Curb mass (excl. driver and cargo): 2335 [kg]. Driving mass (incl. driver and cargo): 2475 [kg]. </t>
  </si>
  <si>
    <t xml:space="preserve">Combustion engine power: 55 [kW]. Electric motor power: 120 [kW]. Power share from combustion engine: 32 [%]. Km over lifetime: 200000 [km]. Yearly mileage: 12000 [km/year]. Autonomy on a full tank/battery: 852 [km]. Tank-to-wheel efficiency: 53 [%]. Tank-to-wheel energy consumption: 1622 [kj/km]. Battery capacity: 14 [kWh]. Fuel tank capacity: 656 [kWh]. Mass of battery: 153 [kg]. Curb mass (excl. driver and cargo): 2345 [kg]. Driving mass (incl. driver and cargo): 2485 [kg]. </t>
  </si>
  <si>
    <t xml:space="preserve">Electric motor power: 176 [kW]. Km over lifetime: 200000 [km]. Yearly mileage: 12000 [km/year]. Autonomy on a full tank/battery: 406 [km]. Tank-to-wheel efficiency: 38 [%]. Tank-to-wheel energy consumption: 1771 [kj/km]. Fuel cell system efficiency: 50 [%]. Fuel tank capacity: 200 [kWh]. Curb mass (excl. driver and cargo): 2346 [kg]. Driving mass (incl. driver and cargo): 2486 [kg]. </t>
  </si>
  <si>
    <t xml:space="preserve">Electric motor power: 166 [kW]. Km over lifetime: 200000 [km]. Yearly mileage: 12000 [km/year]. Autonomy on a full tank/battery: 260 [km]. Tank-to-wheel efficiency: 71 [%]. Tank-to-wheel energy consumption: 874 [kj/km]. Battery capacity: 79 [kWh]. Mass of battery: 660 [kg]. Curb mass (excl. driver and cargo): 2215 [kg]. Driving mass (incl. driver and cargo): 2355 [kg]. </t>
  </si>
  <si>
    <t xml:space="preserve">Combustion engine power: 122 [kW]. Electric motor power: 40 [kW]. Power share from combustion engine: 75 [%]. Km over lifetime: 200000 [km]. Yearly mileage: 12000 [km/year]. Autonomy on a full tank/battery: 678 [km]. Tank-to-wheel efficiency: 22 [%]. Tank-to-wheel energy consumption: 2969 [kj/km]. Fuel tank capacity: 559 [kWh]. Curb mass (excl. driver and cargo): 2174 [kg]. Driving mass (incl. driver and cargo): 2314 [kg]. </t>
  </si>
  <si>
    <t xml:space="preserve">Combustion engine power: 121 [kW]. Electric motor power: 40 [kW]. Power share from combustion engine: 75 [%]. Km over lifetime: 200000 [km]. Yearly mileage: 12000 [km/year]. Autonomy on a full tank/battery: 727 [km]. Tank-to-wheel efficiency: 25 [%]. Tank-to-wheel energy consumption: 2623 [kj/km]. Fuel tank capacity: 530 [kWh]. Curb mass (excl. driver and cargo): 2157 [kg]. Driving mass (incl. driver and cargo): 2297 [kg]. </t>
  </si>
  <si>
    <t xml:space="preserve">Combustion engine power: 122 [kW]. Electric motor power: 40 [kW]. Power share from combustion engine: 75 [%]. Km over lifetime: 200000 [km]. Yearly mileage: 12000 [km/year]. Autonomy on a full tank/battery: 775 [km]. Tank-to-wheel efficiency: 25 [%]. Tank-to-wheel energy consumption: 2620 [kj/km]. Fuel tank capacity: 564 [kWh]. Curb mass (excl. driver and cargo): 2174 [kg]. Driving mass (incl. driver and cargo): 2314 [kg]. </t>
  </si>
  <si>
    <t xml:space="preserve">Combustion engine power: 121 [kW]. Electric motor power: 40 [kW]. Power share from combustion engine: 75 [%]. Km over lifetime: 200000 [km]. Yearly mileage: 12000 [km/year]. Autonomy on a full tank/battery: 803 [km]. Tank-to-wheel efficiency: 27 [%]. Tank-to-wheel energy consumption: 2398 [kj/km]. Fuel tank capacity: 534 [kWh]. Curb mass (excl. driver and cargo): 2158 [kg]. Driving mass (incl. driver and cargo): 2298 [kg]. </t>
  </si>
  <si>
    <t xml:space="preserve">Combustion engine power: 98 [kW]. Power share from combustion engine: 100 [%]. Km over lifetime: 200000 [km]. Yearly mileage: 12000 [km/year]. Autonomy on a full tank/battery: 989 [km]. Tank-to-wheel efficiency: 16 [%]. Tank-to-wheel energy consumption: 2571 [kj/km]. Fuel tank capacity: 706 [kWh]. Curb mass (excl. driver and cargo): 1403 [kg]. Driving mass (incl. driver and cargo): 1543 [kg]. </t>
  </si>
  <si>
    <t xml:space="preserve">Combustion engine power: 97 [kW]. Power share from combustion engine: 100 [%]. Km over lifetime: 200000 [km]. Yearly mileage: 12000 [km/year]. Autonomy on a full tank/battery: 971 [km]. Tank-to-wheel efficiency: 18 [%]. Tank-to-wheel energy consumption: 2421 [kj/km]. Fuel tank capacity: 653 [kWh]. Curb mass (excl. driver and cargo): 1394 [kg]. Driving mass (incl. driver and cargo): 1534 [kg]. </t>
  </si>
  <si>
    <t xml:space="preserve">Combustion engine power: 96 [kW]. Power share from combustion engine: 100 [%]. Km over lifetime: 200000 [km]. Yearly mileage: 12000 [km/year]. Autonomy on a full tank/battery: 948 [km]. Tank-to-wheel efficiency: 20 [%]. Tank-to-wheel energy consumption: 2279 [kj/km]. Fuel tank capacity: 600 [kWh]. Curb mass (excl. driver and cargo): 1385 [kg]. Driving mass (incl. driver and cargo): 1525 [kg]. </t>
  </si>
  <si>
    <t xml:space="preserve">Combustion engine power: 96 [kW]. Power share from combustion engine: 100 [%]. Km over lifetime: 200000 [km]. Yearly mileage: 12000 [km/year]. Autonomy on a full tank/battery: 959 [km]. Tank-to-wheel efficiency: 21 [%]. Tank-to-wheel energy consumption: 2120 [kj/km]. Fuel tank capacity: 565 [kWh]. Curb mass (excl. driver and cargo): 1373 [kg]. Driving mass (incl. driver and cargo): 1513 [kg]. </t>
  </si>
  <si>
    <t xml:space="preserve">Combustion engine power: 95 [kW]. Power share from combustion engine: 100 [%]. Km over lifetime: 200000 [km]. Yearly mileage: 12000 [km/year]. Autonomy on a full tank/battery: 965 [km]. Tank-to-wheel efficiency: 23 [%]. Tank-to-wheel energy consumption: 1975 [kj/km]. Fuel tank capacity: 530 [kWh]. Curb mass (excl. driver and cargo): 1360 [kg]. Driving mass (incl. driver and cargo): 1500 [kg]. </t>
  </si>
  <si>
    <t xml:space="preserve">Combustion engine power: 101 [kW]. Power share from combustion engine: 100 [%]. Km over lifetime: 200000 [km]. Yearly mileage: 12000 [km/year]. Autonomy on a full tank/battery: 1031 [km]. Tank-to-wheel efficiency: 22 [%]. Tank-to-wheel energy consumption: 2158 [kj/km]. Fuel tank capacity: 618 [kWh]. Curb mass (excl. driver and cargo): 1445 [kg]. Driving mass (incl. driver and cargo): 1585 [kg]. </t>
  </si>
  <si>
    <t xml:space="preserve">Combustion engine power: 100 [kW]. Power share from combustion engine: 100 [%]. Km over lifetime: 200000 [km]. Yearly mileage: 12000 [km/year]. Autonomy on a full tank/battery: 1029 [km]. Tank-to-wheel efficiency: 24 [%]. Tank-to-wheel energy consumption: 2017 [kj/km]. Fuel tank capacity: 576 [kWh]. Curb mass (excl. driver and cargo): 1438 [kg]. Driving mass (incl. driver and cargo): 1578 [kg]. </t>
  </si>
  <si>
    <t xml:space="preserve">Combustion engine power: 100 [kW]. Power share from combustion engine: 100 [%]. Km over lifetime: 200000 [km]. Yearly mileage: 12000 [km/year]. Autonomy on a full tank/battery: 1021 [km]. Tank-to-wheel efficiency: 26 [%]. Tank-to-wheel energy consumption: 1884 [kj/km]. Fuel tank capacity: 534 [kWh]. Curb mass (excl. driver and cargo): 1431 [kg]. Driving mass (incl. driver and cargo): 1571 [kg]. </t>
  </si>
  <si>
    <t xml:space="preserve">Combustion engine power: 98 [kW]. Power share from combustion engine: 100 [%]. Km over lifetime: 200000 [km]. Yearly mileage: 12000 [km/year]. Autonomy on a full tank/battery: 1068 [km]. Tank-to-wheel efficiency: 27 [%]. Tank-to-wheel energy consumption: 1801 [kj/km]. Fuel tank capacity: 534 [kWh]. Curb mass (excl. driver and cargo): 1406 [kg]. Driving mass (incl. driver and cargo): 1546 [kg]. </t>
  </si>
  <si>
    <t xml:space="preserve">Combustion engine power: 96 [kW]. Power share from combustion engine: 100 [%]. Km over lifetime: 200000 [km]. Yearly mileage: 12000 [km/year]. Autonomy on a full tank/battery: 1117 [km]. Tank-to-wheel efficiency: 28 [%]. Tank-to-wheel energy consumption: 1723 [kj/km]. Fuel tank capacity: 534 [kWh]. Curb mass (excl. driver and cargo): 1381 [kg]. Driving mass (incl. driver and cargo): 1521 [kg]. </t>
  </si>
  <si>
    <t xml:space="preserve">Combustion engine power: 97 [kW]. Power share from combustion engine: 100 [%]. Km over lifetime: 200000 [km]. Yearly mileage: 12000 [km/year]. Autonomy on a full tank/battery: 446 [km]. Tank-to-wheel efficiency: 13 [%]. Tank-to-wheel energy consumption: 2861 [kj/km]. Fuel tank capacity: 354 [kWh]. Curb mass (excl. driver and cargo): 1390 [kg]. Driving mass (incl. driver and cargo): 1530 [kg]. </t>
  </si>
  <si>
    <t xml:space="preserve">Combustion engine power: 96 [kW]. Power share from combustion engine: 100 [%]. Km over lifetime: 200000 [km]. Yearly mileage: 12000 [km/year]. Autonomy on a full tank/battery: 440 [km]. Tank-to-wheel efficiency: 15 [%]. Tank-to-wheel energy consumption: 2709 [kj/km]. Fuel tank capacity: 331 [kWh]. Curb mass (excl. driver and cargo): 1383 [kg]. Driving mass (incl. driver and cargo): 1523 [kg]. </t>
  </si>
  <si>
    <t xml:space="preserve">Combustion engine power: 96 [kW]. Power share from combustion engine: 100 [%]. Km over lifetime: 200000 [km]. Yearly mileage: 12000 [km/year]. Autonomy on a full tank/battery: 432 [km]. Tank-to-wheel efficiency: 16 [%]. Tank-to-wheel energy consumption: 2567 [kj/km]. Fuel tank capacity: 308 [kWh]. Curb mass (excl. driver and cargo): 1377 [kg]. Driving mass (incl. driver and cargo): 1517 [kg]. </t>
  </si>
  <si>
    <t xml:space="preserve">Combustion engine power: 96 [kW]. Power share from combustion engine: 100 [%]. Km over lifetime: 200000 [km]. Yearly mileage: 12000 [km/year]. Autonomy on a full tank/battery: 427 [km]. Tank-to-wheel efficiency: 18 [%]. Tank-to-wheel energy consumption: 2405 [kj/km]. Fuel tank capacity: 285 [kWh]. Curb mass (excl. driver and cargo): 1374 [kg]. Driving mass (incl. driver and cargo): 1514 [kg]. </t>
  </si>
  <si>
    <t xml:space="preserve">Combustion engine power: 96 [kW]. Power share from combustion engine: 100 [%]. Km over lifetime: 200000 [km]. Yearly mileage: 12000 [km/year]. Autonomy on a full tank/battery: 420 [km]. Tank-to-wheel efficiency: 19 [%]. Tank-to-wheel energy consumption: 2257 [kj/km]. Fuel tank capacity: 263 [kWh]. Curb mass (excl. driver and cargo): 1371 [kg]. Driving mass (incl. driver and cargo): 1511 [kg]. </t>
  </si>
  <si>
    <t xml:space="preserve">Combustion engine power: 55 [kW]. Electric motor power: 47 [kW]. Power share from combustion engine: 51 [%]. Km over lifetime: 200000 [km]. Yearly mileage: 12000 [km/year]. Autonomy on a full tank/battery: 912 [km]. Tank-to-wheel efficiency: 43 [%]. Tank-to-wheel energy consumption: 1385 [kj/km]. Battery capacity: 4 [kWh]. Fuel tank capacity: 488 [kWh]. Mass of battery: 84 [kg]. Curb mass (excl. driver and cargo): 1477 [kg]. Driving mass (incl. driver and cargo): 1617 [kg]. </t>
  </si>
  <si>
    <t xml:space="preserve">Combustion engine power: 41 [kW]. Electric motor power: 61 [kW]. Power share from combustion engine: 37 [%]. Km over lifetime: 200000 [km]. Yearly mileage: 12000 [km/year]. Autonomy on a full tank/battery: 1012 [km]. Tank-to-wheel efficiency: 52 [%]. Tank-to-wheel energy consumption: 1157 [kj/km]. Battery capacity: 8 [kWh]. Fuel tank capacity: 530 [kWh]. Mass of battery: 91 [kg]. Curb mass (excl. driver and cargo): 1463 [kg]. Driving mass (incl. driver and cargo): 1603 [kg]. </t>
  </si>
  <si>
    <t xml:space="preserve">Combustion engine power: 54 [kW]. Electric motor power: 47 [kW]. Power share from combustion engine: 51 [%]. Km over lifetime: 200000 [km]. Yearly mileage: 12000 [km/year]. Autonomy on a full tank/battery: 968 [km]. Tank-to-wheel efficiency: 44 [%]. Tank-to-wheel energy consumption: 1333 [kj/km]. Battery capacity: 4 [kWh]. Fuel tank capacity: 493 [kWh]. Mass of battery: 84 [kg]. Curb mass (excl. driver and cargo): 1458 [kg]. Driving mass (incl. driver and cargo): 1598 [kg]. </t>
  </si>
  <si>
    <t xml:space="preserve">Combustion engine power: 39 [kW]. Electric motor power: 61 [kW]. Power share from combustion engine: 37 [%]. Km over lifetime: 200000 [km]. Yearly mileage: 12000 [km/year]. Autonomy on a full tank/battery: 1118 [km]. Tank-to-wheel efficiency: 52 [%]. Tank-to-wheel energy consumption: 1090 [kj/km]. Battery capacity: 8 [kWh]. Fuel tank capacity: 534 [kWh]. Mass of battery: 91 [kg]. Curb mass (excl. driver and cargo): 1443 [kg]. Driving mass (incl. driver and cargo): 1583 [kg]. </t>
  </si>
  <si>
    <t xml:space="preserve">Electric motor power: 103 [kW]. Km over lifetime: 200000 [km]. Yearly mileage: 12000 [km/year]. Autonomy on a full tank/battery: 433 [km]. Tank-to-wheel efficiency: 38 [%]. Tank-to-wheel energy consumption: 1246 [kj/km]. Fuel cell system efficiency: 50 [%]. Fuel tank capacity: 150 [kWh]. Curb mass (excl. driver and cargo): 1476 [kg]. Driving mass (incl. driver and cargo): 1616 [kg]. </t>
  </si>
  <si>
    <t xml:space="preserve">Electric motor power: 107 [kW]. Km over lifetime: 200000 [km]. Yearly mileage: 12000 [km/year]. Autonomy on a full tank/battery: 189 [km]. Tank-to-wheel efficiency: 71 [%]. Tank-to-wheel energy consumption: 655 [kj/km]. Battery capacity: 43 [kWh]. Mass of battery: 360 [kg]. Curb mass (excl. driver and cargo): 1539 [kg]. Driving mass (incl. driver and cargo): 1679 [kg]. </t>
  </si>
  <si>
    <t xml:space="preserve">Combustion engine power: 77 [kW]. Electric motor power: 25 [kW]. Power share from combustion engine: 75 [%]. Km over lifetime: 200000 [km]. Yearly mileage: 12000 [km/year]. Autonomy on a full tank/battery: 820 [km]. Tank-to-wheel efficiency: 24 [%]. Tank-to-wheel energy consumption: 1936 [kj/km]. Fuel tank capacity: 441 [kWh]. Curb mass (excl. driver and cargo): 1467 [kg]. Driving mass (incl. driver and cargo): 1607 [kg]. </t>
  </si>
  <si>
    <t xml:space="preserve">Combustion engine power: 76 [kW]. Electric motor power: 25 [kW]. Power share from combustion engine: 75 [%]. Km over lifetime: 200000 [km]. Yearly mileage: 12000 [km/year]. Autonomy on a full tank/battery: 860 [km]. Tank-to-wheel efficiency: 27 [%]. Tank-to-wheel energy consumption: 1725 [kj/km]. Fuel tank capacity: 412 [kWh]. Curb mass (excl. driver and cargo): 1455 [kg]. Driving mass (incl. driver and cargo): 1595 [kg]. </t>
  </si>
  <si>
    <t xml:space="preserve">Combustion engine power: 76 [kW]. Electric motor power: 25 [kW]. Power share from combustion engine: 75 [%]. Km over lifetime: 200000 [km]. Yearly mileage: 12000 [km/year]. Autonomy on a full tank/battery: 1018 [km]. Tank-to-wheel efficiency: 30 [%]. Tank-to-wheel energy consumption: 1575 [kj/km]. Fuel tank capacity: 445 [kWh]. Curb mass (excl. driver and cargo): 1456 [kg]. Driving mass (incl. driver and cargo): 1596 [kg]. </t>
  </si>
  <si>
    <t xml:space="preserve">Combustion engine power: 76 [kW]. Electric motor power: 25 [kW]. Power share from combustion engine: 75 [%]. Km over lifetime: 200000 [km]. Yearly mileage: 12000 [km/year]. Autonomy on a full tank/battery: 1030 [km]. Tank-to-wheel efficiency: 33 [%]. Tank-to-wheel energy consumption: 1452 [kj/km]. Fuel tank capacity: 416 [kWh]. Curb mass (excl. driver and cargo): 1455 [kg]. Driving mass (incl. driver and cargo): 1595 [kg]. </t>
  </si>
  <si>
    <t xml:space="preserve">Combustion engine power: 129 [kW]. Power share from combustion engine: 100 [%]. Km over lifetime: 200000 [km]. Yearly mileage: 12000 [km/year]. Autonomy on a full tank/battery: 1001 [km]. Tank-to-wheel efficiency: 17 [%]. Tank-to-wheel energy consumption: 2962 [kj/km]. Fuel tank capacity: 824 [kWh]. Curb mass (excl. driver and cargo): 1624 [kg]. Driving mass (incl. driver and cargo): 1764 [kg]. </t>
  </si>
  <si>
    <t xml:space="preserve">Combustion engine power: 128 [kW]. Power share from combustion engine: 100 [%]. Km over lifetime: 200000 [km]. Yearly mileage: 12000 [km/year]. Autonomy on a full tank/battery: 951 [km]. Tank-to-wheel efficiency: 18 [%]. Tank-to-wheel energy consumption: 2784 [kj/km]. Fuel tank capacity: 736 [kWh]. Curb mass (excl. driver and cargo): 1608 [kg]. Driving mass (incl. driver and cargo): 1748 [kg]. </t>
  </si>
  <si>
    <t xml:space="preserve">Combustion engine power: 127 [kW]. Power share from combustion engine: 100 [%]. Km over lifetime: 200000 [km]. Yearly mileage: 12000 [km/year]. Autonomy on a full tank/battery: 890 [km]. Tank-to-wheel efficiency: 20 [%]. Tank-to-wheel energy consumption: 2619 [kj/km]. Fuel tank capacity: 647 [kWh]. Curb mass (excl. driver and cargo): 1592 [kg]. Driving mass (incl. driver and cargo): 1732 [kg]. </t>
  </si>
  <si>
    <t xml:space="preserve">Combustion engine power: 126 [kW]. Power share from combustion engine: 100 [%]. Km over lifetime: 200000 [km]. Yearly mileage: 12000 [km/year]. Autonomy on a full tank/battery: 944 [km]. Tank-to-wheel efficiency: 21 [%]. Tank-to-wheel energy consumption: 2468 [kj/km]. Fuel tank capacity: 647 [kWh]. Curb mass (excl. driver and cargo): 1585 [kg]. Driving mass (incl. driver and cargo): 1725 [kg]. </t>
  </si>
  <si>
    <t xml:space="preserve">Combustion engine power: 126 [kW]. Power share from combustion engine: 100 [%]. Km over lifetime: 200000 [km]. Yearly mileage: 12000 [km/year]. Autonomy on a full tank/battery: 1002 [km]. Tank-to-wheel efficiency: 22 [%]. Tank-to-wheel energy consumption: 2326 [kj/km]. Fuel tank capacity: 647 [kWh]. Curb mass (excl. driver and cargo): 1579 [kg]. Driving mass (incl. driver and cargo): 1719 [kg]. </t>
  </si>
  <si>
    <t xml:space="preserve">Combustion engine power: 142 [kW]. Power share from combustion engine: 100 [%]. Km over lifetime: 200000 [km]. Yearly mileage: 12000 [km/year]. Autonomy on a full tank/battery: 925 [km]. Tank-to-wheel efficiency: 20 [%]. Tank-to-wheel energy consumption: 2774 [kj/km]. Fuel tank capacity: 713 [kWh]. Curb mass (excl. driver and cargo): 1779 [kg]. Driving mass (incl. driver and cargo): 1919 [kg]. </t>
  </si>
  <si>
    <t xml:space="preserve">Combustion engine power: 141 [kW]. Power share from combustion engine: 100 [%]. Km over lifetime: 200000 [km]. Yearly mileage: 12000 [km/year]. Autonomy on a full tank/battery: 955 [km]. Tank-to-wheel efficiency: 22 [%]. Tank-to-wheel energy consumption: 2576 [kj/km]. Fuel tank capacity: 683 [kWh]. Curb mass (excl. driver and cargo): 1774 [kg]. Driving mass (incl. driver and cargo): 1914 [kg]. </t>
  </si>
  <si>
    <t xml:space="preserve">Combustion engine power: 141 [kW]. Power share from combustion engine: 100 [%]. Km over lifetime: 200000 [km]. Yearly mileage: 12000 [km/year]. Autonomy on a full tank/battery: 983 [km]. Tank-to-wheel efficiency: 24 [%]. Tank-to-wheel energy consumption: 2394 [kj/km]. Fuel tank capacity: 653 [kWh]. Curb mass (excl. driver and cargo): 1769 [kg]. Driving mass (incl. driver and cargo): 1909 [kg]. </t>
  </si>
  <si>
    <t xml:space="preserve">Combustion engine power: 134 [kW]. Power share from combustion engine: 100 [%]. Km over lifetime: 200000 [km]. Yearly mileage: 12000 [km/year]. Autonomy on a full tank/battery: 1093 [km]. Tank-to-wheel efficiency: 26 [%]. Tank-to-wheel energy consumption: 2153 [kj/km]. Fuel tank capacity: 653 [kWh]. Curb mass (excl. driver and cargo): 1686 [kg]. Driving mass (incl. driver and cargo): 1826 [kg]. </t>
  </si>
  <si>
    <t xml:space="preserve">Combustion engine power: 128 [kW]. Power share from combustion engine: 100 [%]. Km over lifetime: 200000 [km]. Yearly mileage: 12000 [km/year]. Autonomy on a full tank/battery: 1215 [km]. Tank-to-wheel efficiency: 28 [%]. Tank-to-wheel energy consumption: 1937 [kj/km]. Fuel tank capacity: 653 [kWh]. Curb mass (excl. driver and cargo): 1603 [kg]. Driving mass (incl. driver and cargo): 1743 [kg]. </t>
  </si>
  <si>
    <t xml:space="preserve">Combustion engine power: 130 [kW]. Power share from combustion engine: 100 [%]. Km over lifetime: 200000 [km]. Yearly mileage: 12000 [km/year]. Autonomy on a full tank/battery: 402 [km]. Tank-to-wheel efficiency: 13 [%]. Tank-to-wheel energy consumption: 3443 [kj/km]. Fuel tank capacity: 385 [kWh]. Curb mass (excl. driver and cargo): 1636 [kg]. Driving mass (incl. driver and cargo): 1776 [kg]. </t>
  </si>
  <si>
    <t xml:space="preserve">Combustion engine power: 127 [kW]. Power share from combustion engine: 100 [%]. Km over lifetime: 200000 [km]. Yearly mileage: 12000 [km/year]. Autonomy on a full tank/battery: 408 [km]. Tank-to-wheel efficiency: 15 [%]. Tank-to-wheel energy consumption: 3193 [kj/km]. Fuel tank capacity: 362 [kWh]. Curb mass (excl. driver and cargo): 1596 [kg]. Driving mass (incl. driver and cargo): 1736 [kg]. </t>
  </si>
  <si>
    <t xml:space="preserve">Combustion engine power: 124 [kW]. Power share from combustion engine: 100 [%]. Km over lifetime: 200000 [km]. Yearly mileage: 12000 [km/year]. Autonomy on a full tank/battery: 412 [km]. Tank-to-wheel efficiency: 16 [%]. Tank-to-wheel energy consumption: 2961 [kj/km]. Fuel tank capacity: 339 [kWh]. Curb mass (excl. driver and cargo): 1555 [kg]. Driving mass (incl. driver and cargo): 1695 [kg]. </t>
  </si>
  <si>
    <t xml:space="preserve">Combustion engine power: 125 [kW]. Power share from combustion engine: 100 [%]. Km over lifetime: 200000 [km]. Yearly mileage: 12000 [km/year]. Autonomy on a full tank/battery: 410 [km]. Tank-to-wheel efficiency: 18 [%]. Tank-to-wheel energy consumption: 2765 [kj/km]. Fuel tank capacity: 315 [kWh]. Curb mass (excl. driver and cargo): 1566 [kg]. Driving mass (incl. driver and cargo): 1706 [kg]. </t>
  </si>
  <si>
    <t xml:space="preserve">Combustion engine power: 126 [kW]. Power share from combustion engine: 100 [%]. Km over lifetime: 200000 [km]. Yearly mileage: 12000 [km/year]. Autonomy on a full tank/battery: 406 [km]. Tank-to-wheel efficiency: 19 [%]. Tank-to-wheel energy consumption: 2585 [kj/km]. Fuel tank capacity: 292 [kWh]. Curb mass (excl. driver and cargo): 1577 [kg]. Driving mass (incl. driver and cargo): 1717 [kg]. </t>
  </si>
  <si>
    <t xml:space="preserve">Combustion engine power: 73 [kW]. Electric motor power: 68 [kW]. Power share from combustion engine: 49 [%]. Km over lifetime: 200000 [km]. Yearly mileage: 12000 [km/year]. Autonomy on a full tank/battery: 907 [km]. Tank-to-wheel efficiency: 44 [%]. Tank-to-wheel energy consumption: 1567 [kj/km]. Battery capacity: 5 [kWh]. Fuel tank capacity: 571 [kWh]. Mass of battery: 105 [kg]. Curb mass (excl. driver and cargo): 1767 [kg]. Driving mass (incl. driver and cargo): 1907 [kg]. </t>
  </si>
  <si>
    <t xml:space="preserve">Combustion engine power: 51 [kW]. Electric motor power: 88 [kW]. Power share from combustion engine: 34 [%]. Km over lifetime: 200000 [km]. Yearly mileage: 12000 [km/year]. Autonomy on a full tank/battery: 1046 [km]. Tank-to-wheel efficiency: 52 [%]. Tank-to-wheel energy consumption: 1290 [kj/km]. Battery capacity: 10 [kWh]. Fuel tank capacity: 647 [kWh]. Mass of battery: 112 [kg]. Curb mass (excl. driver and cargo): 1751 [kg]. Driving mass (incl. driver and cargo): 1891 [kg]. </t>
  </si>
  <si>
    <t xml:space="preserve">Combustion engine power: 71 [kW]. Electric motor power: 68 [kW]. Power share from combustion engine: 49 [%]. Km over lifetime: 200000 [km]. Yearly mileage: 12000 [km/year]. Autonomy on a full tank/battery: 984 [km]. Tank-to-wheel efficiency: 44 [%]. Tank-to-wheel energy consumption: 1485 [kj/km]. Battery capacity: 5 [kWh]. Fuel tank capacity: 576 [kWh]. Mass of battery: 105 [kg]. Curb mass (excl. driver and cargo): 1742 [kg]. Driving mass (incl. driver and cargo): 1882 [kg]. </t>
  </si>
  <si>
    <t xml:space="preserve">Combustion engine power: 50 [kW]. Electric motor power: 88 [kW]. Power share from combustion engine: 34 [%]. Km over lifetime: 200000 [km]. Yearly mileage: 12000 [km/year]. Autonomy on a full tank/battery: 1198 [km]. Tank-to-wheel efficiency: 53 [%]. Tank-to-wheel energy consumption: 1190 [kj/km]. Battery capacity: 10 [kWh]. Fuel tank capacity: 653 [kWh]. Mass of battery: 112 [kg]. Curb mass (excl. driver and cargo): 1734 [kg]. Driving mass (incl. driver and cargo): 1874 [kg]. </t>
  </si>
  <si>
    <t xml:space="preserve">Electric motor power: 139 [kW]. Km over lifetime: 200000 [km]. Yearly mileage: 12000 [km/year]. Autonomy on a full tank/battery: 439 [km]. Tank-to-wheel efficiency: 38 [%]. Tank-to-wheel energy consumption: 1365 [kj/km]. Fuel cell system efficiency: 50 [%]. Fuel tank capacity: 166 [kWh]. Curb mass (excl. driver and cargo): 1739 [kg]. Driving mass (incl. driver and cargo): 1879 [kg]. </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</si>
  <si>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</si>
  <si>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 xml:space="preserve">Combustion engine power: 99 [kW]. Electric motor power: 33 [kW]. Power share from combustion engine: 75 [%]. Km over lifetime: 200000 [km]. Yearly mileage: 12000 [km/year]. Autonomy on a full tank/battery: 816 [km]. Tank-to-wheel efficiency: 24 [%]. Tank-to-wheel energy consumption: 2207 [kj/km]. Fuel tank capacity: 500 [kWh]. Curb mass (excl. driver and cargo): 1664 [kg]. Driving mass (incl. driver and cargo): 1804 [kg]. </t>
  </si>
  <si>
    <t xml:space="preserve">Combustion engine power: 99 [kW]. Electric motor power: 33 [kW]. Power share from combustion engine: 75 [%]. Km over lifetime: 200000 [km]. Yearly mileage: 12000 [km/year]. Autonomy on a full tank/battery: 855 [km]. Tank-to-wheel efficiency: 26 [%]. Tank-to-wheel energy consumption: 1983 [kj/km]. Fuel tank capacity: 471 [kWh]. Curb mass (excl. driver and cargo): 1650 [kg]. Driving mass (incl. driver and cargo): 1790 [kg]. </t>
  </si>
  <si>
    <t xml:space="preserve">Combustion engine power: 99 [kW]. Electric motor power: 33 [kW]. Power share from combustion engine: 75 [%]. Km over lifetime: 200000 [km]. Yearly mileage: 12000 [km/year]. Autonomy on a full tank/battery: 1005 [km]. Tank-to-wheel efficiency: 29 [%]. Tank-to-wheel energy consumption: 1809 [kj/km]. Fuel tank capacity: 505 [kWh]. Curb mass (excl. driver and cargo): 1665 [kg]. Driving mass (incl. driver and cargo): 1805 [kg]. </t>
  </si>
  <si>
    <t xml:space="preserve">Combustion engine power: 99 [kW]. Electric motor power: 33 [kW]. Power share from combustion engine: 75 [%]. Km over lifetime: 200000 [km]. Yearly mileage: 12000 [km/year]. Autonomy on a full tank/battery: 1080 [km]. Tank-to-wheel efficiency: 32 [%]. Tank-to-wheel energy consumption: 1584 [kj/km]. Fuel tank capacity: 475 [kWh]. Curb mass (excl. driver and cargo): 1650 [kg]. Driving mass (incl. driver and cargo): 1790 [kg]. </t>
  </si>
  <si>
    <t xml:space="preserve">Combustion engine power: 109 [kW]. Power share from combustion engine: 100 [%]. Km over lifetime: 200000 [km]. Yearly mileage: 12000 [km/year]. Autonomy on a full tank/battery: 945 [km]. Tank-to-wheel efficiency: 15 [%]. Tank-to-wheel energy consumption: 3138 [kj/km]. Fuel tank capacity: 824 [kWh]. Curb mass (excl. driver and cargo): 1464 [kg]. Driving mass (incl. driver and cargo): 1604 [kg]. </t>
  </si>
  <si>
    <t xml:space="preserve">Combustion engine power: 108 [kW]. Power share from combustion engine: 100 [%]. Km over lifetime: 200000 [km]. Yearly mileage: 12000 [km/year]. Autonomy on a full tank/battery: 903 [km]. Tank-to-wheel efficiency: 16 [%]. Tank-to-wheel energy consumption: 2931 [kj/km]. Fuel tank capacity: 736 [kWh]. Curb mass (excl. driver and cargo): 1448 [kg]. Driving mass (incl. driver and cargo): 1588 [kg]. </t>
  </si>
  <si>
    <t xml:space="preserve">Combustion engine power: 107 [kW]. Power share from combustion engine: 100 [%]. Km over lifetime: 200000 [km]. Yearly mileage: 12000 [km/year]. Autonomy on a full tank/battery: 851 [km]. Tank-to-wheel efficiency: 18 [%]. Tank-to-wheel energy consumption: 2738 [kj/km]. Fuel tank capacity: 647 [kWh]. Curb mass (excl. driver and cargo): 1432 [kg]. Driving mass (incl. driver and cargo): 1572 [kg]. </t>
  </si>
  <si>
    <t xml:space="preserve">Combustion engine power: 107 [kW]. Power share from combustion engine: 100 [%]. Km over lifetime: 200000 [km]. Yearly mileage: 12000 [km/year]. Autonomy on a full tank/battery: 915 [km]. Tank-to-wheel efficiency: 19 [%]. Tank-to-wheel energy consumption: 2553 [kj/km]. Fuel tank capacity: 649 [kWh]. Curb mass (excl. driver and cargo): 1426 [kg]. Driving mass (incl. driver and cargo): 1566 [kg]. </t>
  </si>
  <si>
    <t xml:space="preserve">Combustion engine power: 106 [kW]. Power share from combustion engine: 100 [%]. Km over lifetime: 200000 [km]. Yearly mileage: 12000 [km/year]. Autonomy on a full tank/battery: 983 [km]. Tank-to-wheel efficiency: 21 [%]. Tank-to-wheel energy consumption: 2383 [kj/km]. Fuel tank capacity: 650 [kWh]. Curb mass (excl. driver and cargo): 1421 [kg]. Driving mass (incl. driver and cargo): 1561 [kg]. </t>
  </si>
  <si>
    <t xml:space="preserve">Combustion engine power: 110 [kW]. Power share from combustion engine: 100 [%]. Km over lifetime: 200000 [km]. Yearly mileage: 12000 [km/year]. Autonomy on a full tank/battery: 957 [km]. Tank-to-wheel efficiency: 18 [%]. Tank-to-wheel energy consumption: 2772 [kj/km]. Fuel tank capacity: 737 [kWh]. Curb mass (excl. driver and cargo): 1470 [kg]. Driving mass (incl. driver and cargo): 1610 [kg]. </t>
  </si>
  <si>
    <t xml:space="preserve">Combustion engine power: 109 [kW]. Power share from combustion engine: 100 [%]. Km over lifetime: 200000 [km]. Yearly mileage: 12000 [km/year]. Autonomy on a full tank/battery: 966 [km]. Tank-to-wheel efficiency: 20 [%]. Tank-to-wheel energy consumption: 2591 [kj/km]. Fuel tank capacity: 695 [kWh]. Curb mass (excl. driver and cargo): 1462 [kg]. Driving mass (incl. driver and cargo): 1602 [kg]. </t>
  </si>
  <si>
    <t xml:space="preserve">Combustion engine power: 109 [kW]. Power share from combustion engine: 100 [%]. Km over lifetime: 200000 [km]. Yearly mileage: 12000 [km/year]. Autonomy on a full tank/battery: 972 [km]. Tank-to-wheel efficiency: 22 [%]. Tank-to-wheel energy consumption: 2420 [kj/km]. Fuel tank capacity: 653 [kWh]. Curb mass (excl. driver and cargo): 1455 [kg]. Driving mass (incl. driver and cargo): 1595 [kg]. </t>
  </si>
  <si>
    <t xml:space="preserve">Combustion engine power: 108 [kW]. Power share from combustion engine: 100 [%]. Km over lifetime: 200000 [km]. Yearly mileage: 12000 [km/year]. Autonomy on a full tank/battery: 1012 [km]. Tank-to-wheel efficiency: 23 [%]. Tank-to-wheel energy consumption: 2330 [kj/km]. Fuel tank capacity: 655 [kWh]. Curb mass (excl. driver and cargo): 1449 [kg]. Driving mass (incl. driver and cargo): 1589 [kg]. </t>
  </si>
  <si>
    <t xml:space="preserve">Combustion engine power: 108 [kW]. Power share from combustion engine: 100 [%]. Km over lifetime: 200000 [km]. Yearly mileage: 12000 [km/year]. Autonomy on a full tank/battery: 1054 [km]. Tank-to-wheel efficiency: 23 [%]. Tank-to-wheel energy consumption: 2242 [kj/km]. Fuel tank capacity: 656 [kWh]. Curb mass (excl. driver and cargo): 1443 [kg]. Driving mass (incl. driver and cargo): 1583 [kg]. </t>
  </si>
  <si>
    <t xml:space="preserve">Combustion engine power: 113 [kW]. Power share from combustion engine: 100 [%]. Km over lifetime: 200000 [km]. Yearly mileage: 12000 [km/year]. Autonomy on a full tank/battery: 607 [km]. Tank-to-wheel efficiency: 14 [%]. Tank-to-wheel energy consumption: 3290 [kj/km]. Fuel tank capacity: 555 [kWh]. Curb mass (excl. driver and cargo): 1508 [kg]. Driving mass (incl. driver and cargo): 1648 [kg]. </t>
  </si>
  <si>
    <t xml:space="preserve">Combustion engine power: 112 [kW]. Power share from combustion engine: 100 [%]. Km over lifetime: 200000 [km]. Yearly mileage: 12000 [km/year]. Autonomy on a full tank/battery: 611 [km]. Tank-to-wheel efficiency: 16 [%]. Tank-to-wheel energy consumption: 3086 [kj/km]. Fuel tank capacity: 524 [kWh]. Curb mass (excl. driver and cargo): 1499 [kg]. Driving mass (incl. driver and cargo): 1639 [kg]. </t>
  </si>
  <si>
    <t xml:space="preserve">Combustion engine power: 111 [kW]. Power share from combustion engine: 100 [%]. Km over lifetime: 200000 [km]. Yearly mileage: 12000 [km/year]. Autonomy on a full tank/battery: 613 [km]. Tank-to-wheel efficiency: 17 [%]. Tank-to-wheel energy consumption: 2893 [kj/km]. Fuel tank capacity: 493 [kWh]. Curb mass (excl. driver and cargo): 1490 [kg]. Driving mass (incl. driver and cargo): 1630 [kg]. </t>
  </si>
  <si>
    <t xml:space="preserve">Combustion engine power: 110 [kW]. Power share from combustion engine: 100 [%]. Km over lifetime: 200000 [km]. Yearly mileage: 12000 [km/year]. Autonomy on a full tank/battery: 588 [km]. Tank-to-wheel efficiency: 19 [%]. Tank-to-wheel energy consumption: 2668 [kj/km]. Fuel tank capacity: 436 [kWh]. Curb mass (excl. driver and cargo): 1467 [kg]. Driving mass (incl. driver and cargo): 1607 [kg]. </t>
  </si>
  <si>
    <t xml:space="preserve">Combustion engine power: 108 [kW]. Power share from combustion engine: 100 [%]. Km over lifetime: 200000 [km]. Yearly mileage: 12000 [km/year]. Autonomy on a full tank/battery: 554 [km]. Tank-to-wheel efficiency: 20 [%]. Tank-to-wheel energy consumption: 2465 [kj/km]. Fuel tank capacity: 379 [kWh]. Curb mass (excl. driver and cargo): 1444 [kg]. Driving mass (incl. driver and cargo): 1584 [kg]. </t>
  </si>
  <si>
    <t xml:space="preserve">Combustion engine power: 51 [kW]. Electric motor power: 77 [kW]. Power share from combustion engine: 42 [%]. Km over lifetime: 200000 [km]. Yearly mileage: 12000 [km/year]. Autonomy on a full tank/battery: 888 [km]. Tank-to-wheel efficiency: 45 [%]. Tank-to-wheel energy consumption: 1576 [kj/km]. Battery capacity: 9 [kWh]. Fuel tank capacity: 572 [kWh]. Mass of battery: 145 [kg]. Curb mass (excl. driver and cargo): 1717 [kg]. Driving mass (incl. driver and cargo): 1857 [kg]. </t>
  </si>
  <si>
    <t xml:space="preserve">Combustion engine power: 33 [kW]. Electric motor power: 97 [kW]. Power share from combustion engine: 27 [%]. Km over lifetime: 200000 [km]. Yearly mileage: 12000 [km/year]. Autonomy on a full tank/battery: 1054 [km]. Tank-to-wheel efficiency: 55 [%]. Tank-to-wheel energy consumption: 1265 [kj/km]. Battery capacity: 15 [kWh]. Fuel tank capacity: 650 [kWh]. Mass of battery: 157 [kg]. Curb mass (excl. driver and cargo): 1739 [kg]. Driving mass (incl. driver and cargo): 1879 [kg]. </t>
  </si>
  <si>
    <t xml:space="preserve">Combustion engine power: 50 [kW]. Electric motor power: 77 [kW]. Power share from combustion engine: 42 [%]. Km over lifetime: 200000 [km]. Yearly mileage: 12000 [km/year]. Autonomy on a full tank/battery: 915 [km]. Tank-to-wheel efficiency: 45 [%]. Tank-to-wheel energy consumption: 1554 [kj/km]. Battery capacity: 9 [kWh]. Fuel tank capacity: 578 [kWh]. Mass of battery: 145 [kg]. Curb mass (excl. driver and cargo): 1694 [kg]. Driving mass (incl. driver and cargo): 1834 [kg]. </t>
  </si>
  <si>
    <t xml:space="preserve">Combustion engine power: 32 [kW]. Electric motor power: 97 [kW]. Power share from combustion engine: 27 [%]. Km over lifetime: 200000 [km]. Yearly mileage: 12000 [km/year]. Autonomy on a full tank/battery: 1084 [km]. Tank-to-wheel efficiency: 55 [%]. Tank-to-wheel energy consumption: 1251 [kj/km]. Battery capacity: 15 [kWh]. Fuel tank capacity: 656 [kWh]. Mass of battery: 157 [kg]. Curb mass (excl. driver and cargo): 1724 [kg]. Driving mass (incl. driver and cargo): 1864 [kg]. </t>
  </si>
  <si>
    <t xml:space="preserve">Electric motor power: 117 [kW]. Km over lifetime: 200000 [km]. Yearly mileage: 12000 [km/year]. Autonomy on a full tank/battery: 501 [km]. Tank-to-wheel efficiency: 38 [%]. Tank-to-wheel energy consumption: 1437 [kj/km]. Fuel cell system efficiency: 50 [%]. Fuel tank capacity: 200 [kWh]. Curb mass (excl. driver and cargo): 1571 [kg]. Driving mass (incl. driver and cargo): 1711 [kg]. </t>
  </si>
  <si>
    <t xml:space="preserve">Electric motor power: 139 [kW]. Km over lifetime: 200000 [km]. Yearly mileage: 12000 [km/year]. Autonomy on a full tank/battery: 197 [km]. Tank-to-wheel efficiency: 71 [%]. Tank-to-wheel energy consumption: 805 [kj/km]. Battery capacity: 55 [kWh]. Mass of battery: 460 [kg]. Curb mass (excl. driver and cargo): 1866 [kg]. Driving mass (incl. driver and cargo): 2006 [kg]. </t>
  </si>
  <si>
    <t xml:space="preserve">Combustion engine power: 82 [kW]. Electric motor power: 27 [kW]. Power share from combustion engine: 75 [%]. Km over lifetime: 200000 [km]. Yearly mileage: 12000 [km/year]. Autonomy on a full tank/battery: 871 [km]. Tank-to-wheel efficiency: 22 [%]. Tank-to-wheel energy consumption: 2311 [kj/km]. Fuel tank capacity: 559 [kWh]. Curb mass (excl. driver and cargo): 1470 [kg]. Driving mass (incl. driver and cargo): 1610 [kg]. </t>
  </si>
  <si>
    <t xml:space="preserve">Combustion engine power: 82 [kW]. Electric motor power: 27 [kW]. Power share from combustion engine: 75 [%]. Km over lifetime: 200000 [km]. Yearly mileage: 12000 [km/year]. Autonomy on a full tank/battery: 922 [km]. Tank-to-wheel efficiency: 25 [%]. Tank-to-wheel energy consumption: 2068 [kj/km]. Fuel tank capacity: 530 [kWh]. Curb mass (excl. driver and cargo): 1457 [kg]. Driving mass (incl. driver and cargo): 1597 [kg]. </t>
  </si>
  <si>
    <t xml:space="preserve">Combustion engine power: 82 [kW]. Electric motor power: 27 [kW]. Power share from combustion engine: 75 [%]. Km over lifetime: 200000 [km]. Yearly mileage: 12000 [km/year]. Autonomy on a full tank/battery: 983 [km]. Tank-to-wheel efficiency: 25 [%]. Tank-to-wheel energy consumption: 2066 [kj/km]. Fuel tank capacity: 564 [kWh]. Curb mass (excl. driver and cargo): 1471 [kg]. Driving mass (incl. driver and cargo): 1611 [kg]. </t>
  </si>
  <si>
    <t xml:space="preserve">Combustion engine power: 82 [kW]. Electric motor power: 27 [kW]. Power share from combustion engine: 75 [%]. Km over lifetime: 200000 [km]. Yearly mileage: 12000 [km/year]. Autonomy on a full tank/battery: 1007 [km]. Tank-to-wheel efficiency: 27 [%]. Tank-to-wheel energy consumption: 1911 [kj/km]. Fuel tank capacity: 534 [kWh]. Curb mass (excl. driver and cargo): 1458 [kg]. Driving mass (incl. driver and cargo): 1598 [kg]. </t>
  </si>
  <si>
    <t xml:space="preserve">Electric motor power: 18 [kW]. Km over lifetime: 60000 [km]. Yearly mileage: 6000 [km/year]. Autonomy on a full tank/battery: 110 [km]. Tank-to-wheel efficiency: 71 [%]. Tank-to-wheel energy consumption: 375 [kj/km]. Battery capacity: 14 [kWh]. Mass of battery: 120 [kg]. Curb mass (excl. driver and cargo): 528 [kg]. Driving mass (incl. driver and cargo): 668 [kg]. </t>
  </si>
  <si>
    <t xml:space="preserve">Combustion engine power: 54 [kW]. Power share from combustion engine: 100 [%]. Km over lifetime: 200000 [km]. Yearly mileage: 12000 [km/year]. Autonomy on a full tank/battery: 875 [km]. Tank-to-wheel efficiency: 18 [%]. Tank-to-wheel energy consumption: 1646 [kj/km]. Fuel tank capacity: 400 [kWh]. Curb mass (excl. driver and cargo): 912 [kg]. Driving mass (incl. driver and cargo): 1052 [kg]. </t>
  </si>
  <si>
    <t xml:space="preserve">Combustion engine power: 54 [kW]. Power share from combustion engine: 100 [%]. Km over lifetime: 200000 [km]. Yearly mileage: 12000 [km/year]. Autonomy on a full tank/battery: 892 [km]. Tank-to-wheel efficiency: 20 [%]. Tank-to-wheel energy consumption: 1579 [kj/km]. Fuel tank capacity: 391 [kWh]. Curb mass (excl. driver and cargo): 910 [kg]. Driving mass (incl. driver and cargo): 1050 [kg]. </t>
  </si>
  <si>
    <t xml:space="preserve">Combustion engine power: 54 [kW]. Power share from combustion engine: 100 [%]. Km over lifetime: 200000 [km]. Yearly mileage: 12000 [km/year]. Autonomy on a full tank/battery: 909 [km]. Tank-to-wheel efficiency: 22 [%]. Tank-to-wheel energy consumption: 1514 [kj/km]. Fuel tank capacity: 382 [kWh]. Curb mass (excl. driver and cargo): 909 [kg]. Driving mass (incl. driver and cargo): 1049 [kg]. </t>
  </si>
  <si>
    <t xml:space="preserve">Combustion engine power: 54 [kW]. Power share from combustion engine: 100 [%]. Km over lifetime: 200000 [km]. Yearly mileage: 12000 [km/year]. Autonomy on a full tank/battery: 988 [km]. Tank-to-wheel efficiency: 24 [%]. Tank-to-wheel energy consumption: 1425 [kj/km]. Fuel tank capacity: 391 [kWh]. Curb mass (excl. driver and cargo): 907 [kg]. Driving mass (incl. driver and cargo): 1047 [kg]. </t>
  </si>
  <si>
    <t xml:space="preserve">Combustion engine power: 54 [kW]. Power share from combustion engine: 100 [%]. Km over lifetime: 200000 [km]. Yearly mileage: 12000 [km/year]. Autonomy on a full tank/battery: 1072 [km]. Tank-to-wheel efficiency: 26 [%]. Tank-to-wheel energy consumption: 1344 [kj/km]. Fuel tank capacity: 400 [kWh]. Curb mass (excl. driver and cargo): 904 [kg]. Driving mass (incl. driver and cargo): 1044 [kg]. </t>
  </si>
  <si>
    <t xml:space="preserve">Combustion engine power: 55 [kW]. Power share from combustion engine: 100 [%]. Km over lifetime: 200000 [km]. Yearly mileage: 12000 [km/year]. Autonomy on a full tank/battery: 980 [km]. Tank-to-wheel efficiency: 22 [%]. Tank-to-wheel energy consumption: 1483 [kj/km]. Fuel tank capacity: 404 [kWh]. Curb mass (excl. driver and cargo): 928 [kg]. Driving mass (incl. driver and cargo): 1068 [kg]. </t>
  </si>
  <si>
    <t xml:space="preserve">Combustion engine power: 55 [kW]. Power share from combustion engine: 100 [%]. Km over lifetime: 200000 [km]. Yearly mileage: 12000 [km/year]. Autonomy on a full tank/battery: 967 [km]. Tank-to-wheel efficiency: 24 [%]. Tank-to-wheel energy consumption: 1416 [kj/km]. Fuel tank capacity: 380 [kWh]. Curb mass (excl. driver and cargo): 924 [kg]. Driving mass (incl. driver and cargo): 1064 [kg]. </t>
  </si>
  <si>
    <t xml:space="preserve">Combustion engine power: 55 [kW]. Power share from combustion engine: 100 [%]. Km over lifetime: 200000 [km]. Yearly mileage: 12000 [km/year]. Autonomy on a full tank/battery: 948 [km]. Tank-to-wheel efficiency: 26 [%]. Tank-to-wheel energy consumption: 1353 [kj/km]. Fuel tank capacity: 356 [kWh]. Curb mass (excl. driver and cargo): 920 [kg]. Driving mass (incl. driver and cargo): 1060 [kg]. </t>
  </si>
  <si>
    <t xml:space="preserve">Combustion engine power: 55 [kW]. Power share from combustion engine: 100 [%]. Km over lifetime: 200000 [km]. Yearly mileage: 12000 [km/year]. Autonomy on a full tank/battery: 1040 [km]. Tank-to-wheel efficiency: 27 [%]. Tank-to-wheel energy consumption: 1316 [kj/km]. Fuel tank capacity: 380 [kWh]. Curb mass (excl. driver and cargo): 920 [kg]. Driving mass (incl. driver and cargo): 1060 [kg]. </t>
  </si>
  <si>
    <t xml:space="preserve">Combustion engine power: 55 [kW]. Power share from combustion engine: 100 [%]. Km over lifetime: 200000 [km]. Yearly mileage: 12000 [km/year]. Autonomy on a full tank/battery: 1136 [km]. Tank-to-wheel efficiency: 28 [%]. Tank-to-wheel energy consumption: 1280 [kj/km]. Fuel tank capacity: 404 [kWh]. Curb mass (excl. driver and cargo): 920 [kg]. Driving mass (incl. driver and cargo): 1060 [kg]. </t>
  </si>
  <si>
    <t xml:space="preserve">Combustion engine power: 56 [kW]. Power share from combustion engine: 100 [%]. Km over lifetime: 200000 [km]. Yearly mileage: 12000 [km/year]. Autonomy on a full tank/battery: 495 [km]. Tank-to-wheel efficiency: 14 [%]. Tank-to-wheel energy consumption: 1905 [kj/km]. Fuel tank capacity: 262 [kWh]. Curb mass (excl. driver and cargo): 945 [kg]. Driving mass (incl. driver and cargo): 1085 [kg]. </t>
  </si>
  <si>
    <t xml:space="preserve">Combustion engine power: 56 [kW]. Power share from combustion engine: 100 [%]. Km over lifetime: 200000 [km]. Yearly mileage: 12000 [km/year]. Autonomy on a full tank/battery: 469 [km]. Tank-to-wheel efficiency: 16 [%]. Tank-to-wheel energy consumption: 1833 [kj/km]. Fuel tank capacity: 238 [kWh]. Curb mass (excl. driver and cargo): 938 [kg]. Driving mass (incl. driver and cargo): 1078 [kg]. </t>
  </si>
  <si>
    <t xml:space="preserve">Combustion engine power: 55 [kW]. Power share from combustion engine: 100 [%]. Km over lifetime: 200000 [km]. Yearly mileage: 12000 [km/year]. Autonomy on a full tank/battery: 441 [km]. Tank-to-wheel efficiency: 17 [%]. Tank-to-wheel energy consumption: 1761 [kj/km]. Fuel tank capacity: 215 [kWh]. Curb mass (excl. driver and cargo): 932 [kg]. Driving mass (incl. driver and cargo): 1072 [kg]. </t>
  </si>
  <si>
    <t xml:space="preserve">Combustion engine power: 55 [kW]. Power share from combustion engine: 100 [%]. Km over lifetime: 200000 [km]. Yearly mileage: 12000 [km/year]. Autonomy on a full tank/battery: 441 [km]. Tank-to-wheel efficiency: 19 [%]. Tank-to-wheel energy consumption: 1657 [kj/km]. Fuel tank capacity: 203 [kWh]. Curb mass (excl. driver and cargo): 924 [kg]. Driving mass (incl. driver and cargo): 1064 [kg]. </t>
  </si>
  <si>
    <t xml:space="preserve">Combustion engine power: 55 [kW]. Power share from combustion engine: 100 [%]. Km over lifetime: 200000 [km]. Yearly mileage: 12000 [km/year]. Autonomy on a full tank/battery: 439 [km]. Tank-to-wheel efficiency: 20 [%]. Tank-to-wheel energy consumption: 1560 [kj/km]. Fuel tank capacity: 190 [kWh]. Curb mass (excl. driver and cargo): 916 [kg]. Driving mass (incl. driver and cargo): 1056 [kg]. </t>
  </si>
  <si>
    <t xml:space="preserve">Combustion engine power: 34 [kW]. Electric motor power: 30 [kW]. Power share from combustion engine: 54 [%]. Km over lifetime: 200000 [km]. Yearly mileage: 12000 [km/year]. Autonomy on a full tank/battery: 920 [km]. Tank-to-wheel efficiency: 43 [%]. Tank-to-wheel energy consumption: 1052 [kj/km]. Battery capacity: 3 [kWh]. Fuel tank capacity: 341 [kWh]. Mass of battery: 73 [kg]. Curb mass (excl. driver and cargo): 1077 [kg]. Driving mass (incl. driver and cargo): 1217 [kg]. </t>
  </si>
  <si>
    <t xml:space="preserve">Combustion engine power: 25 [kW]. Electric motor power: 39 [kW]. Power share from combustion engine: 40 [%]. Km over lifetime: 200000 [km]. Yearly mileage: 12000 [km/year]. Autonomy on a full tank/battery: 1104 [km]. Tank-to-wheel efficiency: 51 [%]. Tank-to-wheel energy consumption: 909 [kj/km]. Battery capacity: 6 [kWh]. Fuel tank capacity: 400 [kWh]. Mass of battery: 77 [kg]. Curb mass (excl. driver and cargo): 1088 [kg]. Driving mass (incl. driver and cargo): 1228 [kg]. </t>
  </si>
  <si>
    <t xml:space="preserve">Combustion engine power: 32 [kW]. Electric motor power: 30 [kW]. Power share from combustion engine: 54 [%]. Km over lifetime: 200000 [km]. Yearly mileage: 12000 [km/year]. Autonomy on a full tank/battery: 957 [km]. Tank-to-wheel efficiency: 43 [%]. Tank-to-wheel energy consumption: 1028 [kj/km]. Battery capacity: 3 [kWh]. Fuel tank capacity: 344 [kWh]. Mass of battery: 73 [kg]. Curb mass (excl. driver and cargo): 1045 [kg]. Driving mass (incl. driver and cargo): 1185 [kg]. </t>
  </si>
  <si>
    <t xml:space="preserve">Combustion engine power: 24 [kW]. Electric motor power: 39 [kW]. Power share from combustion engine: 40 [%]. Km over lifetime: 200000 [km]. Yearly mileage: 12000 [km/year]. Autonomy on a full tank/battery: 1148 [km]. Tank-to-wheel efficiency: 51 [%]. Tank-to-wheel energy consumption: 893 [kj/km]. Battery capacity: 6 [kWh]. Fuel tank capacity: 404 [kWh]. Mass of battery: 77 [kg]. Curb mass (excl. driver and cargo): 1064 [kg]. Driving mass (incl. driver and cargo): 1204 [kg]. </t>
  </si>
  <si>
    <t xml:space="preserve">Electric motor power: 57 [kW]. Km over lifetime: 200000 [km]. Yearly mileage: 12000 [km/year]. Autonomy on a full tank/battery: 488 [km]. Tank-to-wheel efficiency: 38 [%]. Tank-to-wheel energy consumption: 982 [kj/km]. Fuel cell system efficiency: 50 [%]. Fuel tank capacity: 133 [kWh]. Curb mass (excl. driver and cargo): 963 [kg]. Driving mass (incl. driver and cargo): 1103 [kg]. </t>
  </si>
  <si>
    <t xml:space="preserve">Electric motor power: 56 [kW]. Km over lifetime: 200000 [km]. Yearly mileage: 12000 [km/year]. Autonomy on a full tank/battery: 123 [km]. Tank-to-wheel efficiency: 71 [%]. Tank-to-wheel energy consumption: 530 [kj/km]. Battery capacity: 22 [kWh]. Mass of battery: 190 [kg]. Curb mass (excl. driver and cargo): 947 [kg]. Driving mass (incl. driver and cargo): 1087 [kg]. </t>
  </si>
  <si>
    <t xml:space="preserve">Combustion engine power: 42 [kW]. Electric motor power: 14 [kW]. Power share from combustion engine: 75 [%]. Km over lifetime: 200000 [km]. Yearly mileage: 12000 [km/year]. Autonomy on a full tank/battery: 899 [km]. Tank-to-wheel efficiency: 27 [%]. Tank-to-wheel energy consumption: 1295 [kj/km]. Fuel tank capacity: 323 [kWh]. Curb mass (excl. driver and cargo): 942 [kg]. Driving mass (incl. driver and cargo): 1082 [kg]. </t>
  </si>
  <si>
    <t xml:space="preserve">Combustion engine power: 41 [kW]. Electric motor power: 13 [kW]. Power share from combustion engine: 75 [%]. Km over lifetime: 200000 [km]. Yearly mileage: 12000 [km/year]. Autonomy on a full tank/battery: 904 [km]. Tank-to-wheel efficiency: 30 [%]. Tank-to-wheel energy consumption: 1171 [kj/km]. Fuel tank capacity: 294 [kWh]. Curb mass (excl. driver and cargo): 932 [kg]. Driving mass (incl. driver and cargo): 1072 [kg]. </t>
  </si>
  <si>
    <t xml:space="preserve">Combustion engine power: 42 [kW]. Electric motor power: 14 [kW]. Power share from combustion engine: 75 [%]. Km over lifetime: 200000 [km]. Yearly mileage: 12000 [km/year]. Autonomy on a full tank/battery: 1003 [km]. Tank-to-wheel efficiency: 30 [%]. Tank-to-wheel energy consumption: 1172 [kj/km]. Fuel tank capacity: 326 [kWh]. Curb mass (excl. driver and cargo): 942 [kg]. Driving mass (incl. driver and cargo): 1082 [kg]. </t>
  </si>
  <si>
    <t xml:space="preserve">Combustion engine power: 41 [kW]. Electric motor power: 13 [kW]. Power share from combustion engine: 75 [%]. Km over lifetime: 200000 [km]. Yearly mileage: 12000 [km/year]. Autonomy on a full tank/battery: 977 [km]. Tank-to-wheel efficiency: 33 [%]. Tank-to-wheel energy consumption: 1094 [kj/km]. Fuel tank capacity: 297 [kWh]. Curb mass (excl. driver and cargo): 932 [kg]. Driving mass (incl. driver and cargo): 1072 [kg]. </t>
  </si>
  <si>
    <t xml:space="preserve">Combustion engine power: 77 [kW]. Power share from combustion engine: 100 [%]. Km over lifetime: 200000 [km]. Yearly mileage: 12000 [km/year]. Autonomy on a full tank/battery: 904 [km]. Tank-to-wheel efficiency: 17 [%]. Tank-to-wheel energy consumption: 2155 [kj/km]. Fuel tank capacity: 541 [kWh]. Curb mass (excl. driver and cargo): 1196 [kg]. Driving mass (incl. driver and cargo): 1336 [kg]. </t>
  </si>
  <si>
    <t xml:space="preserve">Combustion engine power: 77 [kW]. Power share from combustion engine: 100 [%]. Km over lifetime: 200000 [km]. Yearly mileage: 12000 [km/year]. Autonomy on a full tank/battery: 876 [km]. Tank-to-wheel efficiency: 19 [%]. Tank-to-wheel energy consumption: 2030 [kj/km]. Fuel tank capacity: 494 [kWh]. Curb mass (excl. driver and cargo): 1188 [kg]. Driving mass (incl. driver and cargo): 1328 [kg]. </t>
  </si>
  <si>
    <t xml:space="preserve">Combustion engine power: 76 [kW]. Power share from combustion engine: 100 [%]. Km over lifetime: 200000 [km]. Yearly mileage: 12000 [km/year]. Autonomy on a full tank/battery: 842 [km]. Tank-to-wheel efficiency: 20 [%]. Tank-to-wheel energy consumption: 1913 [kj/km]. Fuel tank capacity: 447 [kWh]. Curb mass (excl. driver and cargo): 1180 [kg]. Driving mass (incl. driver and cargo): 1320 [kg]. </t>
  </si>
  <si>
    <t xml:space="preserve">Combustion engine power: 76 [kW]. Power share from combustion engine: 100 [%]. Km over lifetime: 200000 [km]. Yearly mileage: 12000 [km/year]. Autonomy on a full tank/battery: 896 [km]. Tank-to-wheel efficiency: 22 [%]. Tank-to-wheel energy consumption: 1797 [kj/km]. Fuel tank capacity: 447 [kWh]. Curb mass (excl. driver and cargo): 1175 [kg]. Driving mass (incl. driver and cargo): 1315 [kg]. </t>
  </si>
  <si>
    <t xml:space="preserve">Combustion engine power: 76 [kW]. Power share from combustion engine: 100 [%]. Km over lifetime: 200000 [km]. Yearly mileage: 12000 [km/year]. Autonomy on a full tank/battery: 953 [km]. Tank-to-wheel efficiency: 24 [%]. Tank-to-wheel energy consumption: 1690 [kj/km]. Fuel tank capacity: 447 [kWh]. Curb mass (excl. driver and cargo): 1169 [kg]. Driving mass (incl. driver and cargo): 1309 [kg]. </t>
  </si>
  <si>
    <t xml:space="preserve">Combustion engine power: 79 [kW]. Power share from combustion engine: 100 [%]. Km over lifetime: 200000 [km]. Yearly mileage: 12000 [km/year]. Autonomy on a full tank/battery: 967 [km]. Tank-to-wheel efficiency: 22 [%]. Tank-to-wheel energy consumption: 1857 [kj/km]. Fuel tank capacity: 499 [kWh]. Curb mass (excl. driver and cargo): 1225 [kg]. Driving mass (incl. driver and cargo): 1365 [kg]. </t>
  </si>
  <si>
    <t xml:space="preserve">Combustion engine power: 79 [kW]. Power share from combustion engine: 100 [%]. Km over lifetime: 200000 [km]. Yearly mileage: 12000 [km/year]. Autonomy on a full tank/battery: 958 [km]. Tank-to-wheel efficiency: 24 [%]. Tank-to-wheel energy consumption: 1741 [kj/km]. Fuel tank capacity: 463 [kWh]. Curb mass (excl. driver and cargo): 1219 [kg]. Driving mass (incl. driver and cargo): 1359 [kg]. </t>
  </si>
  <si>
    <t xml:space="preserve">Combustion engine power: 78 [kW]. Power share from combustion engine: 100 [%]. Km over lifetime: 200000 [km]. Yearly mileage: 12000 [km/year]. Autonomy on a full tank/battery: 944 [km]. Tank-to-wheel efficiency: 26 [%]. Tank-to-wheel energy consumption: 1631 [kj/km]. Fuel tank capacity: 428 [kWh]. Curb mass (excl. driver and cargo): 1213 [kg]. Driving mass (incl. driver and cargo): 1353 [kg]. </t>
  </si>
  <si>
    <t xml:space="preserve">Combustion engine power: 78 [kW]. Power share from combustion engine: 100 [%]. Km over lifetime: 200000 [km]. Yearly mileage: 12000 [km/year]. Autonomy on a full tank/battery: 1035 [km]. Tank-to-wheel efficiency: 29 [%]. Tank-to-wheel energy consumption: 1528 [kj/km]. Fuel tank capacity: 439 [kWh]. Curb mass (excl. driver and cargo): 1210 [kg]. Driving mass (incl. driver and cargo): 1350 [kg]. </t>
  </si>
  <si>
    <t xml:space="preserve">Combustion engine power: 78 [kW]. Power share from combustion engine: 100 [%]. Km over lifetime: 200000 [km]. Yearly mileage: 12000 [km/year]. Autonomy on a full tank/battery: 1134 [km]. Tank-to-wheel efficiency: 31 [%]. Tank-to-wheel energy consumption: 1433 [kj/km]. Fuel tank capacity: 451 [kWh]. Curb mass (excl. driver and cargo): 1207 [kg]. Driving mass (incl. driver and cargo): 1347 [kg]. </t>
  </si>
  <si>
    <t xml:space="preserve">Combustion engine power: 72 [kW]. Power share from combustion engine: 100 [%]. Km over lifetime: 200000 [km]. Yearly mileage: 12000 [km/year]. Autonomy on a full tank/battery: 488 [km]. Tank-to-wheel efficiency: 14 [%]. Tank-to-wheel energy consumption: 2270 [kj/km]. Fuel tank capacity: 308 [kWh]. Curb mass (excl. driver and cargo): 1122 [kg]. Driving mass (incl. driver and cargo): 1262 [kg]. </t>
  </si>
  <si>
    <t xml:space="preserve">Combustion engine power: 74 [kW]. Power share from combustion engine: 100 [%]. Km over lifetime: 200000 [km]. Yearly mileage: 12000 [km/year]. Autonomy on a full tank/battery: 609 [km]. Tank-to-wheel efficiency: 16 [%]. Tank-to-wheel energy consumption: 2183 [kj/km]. Fuel tank capacity: 370 [kWh]. Curb mass (excl. driver and cargo): 1140 [kg]. Driving mass (incl. driver and cargo): 1280 [kg]. </t>
  </si>
  <si>
    <t xml:space="preserve">Combustion engine power: 75 [kW]. Power share from combustion engine: 100 [%]. Km over lifetime: 200000 [km]. Yearly mileage: 12000 [km/year]. Autonomy on a full tank/battery: 740 [km]. Tank-to-wheel efficiency: 17 [%]. Tank-to-wheel energy consumption: 2099 [kj/km]. Fuel tank capacity: 431 [kWh]. Curb mass (excl. driver and cargo): 1158 [kg]. Driving mass (incl. driver and cargo): 1298 [kg]. </t>
  </si>
  <si>
    <t xml:space="preserve">Combustion engine power: 74 [kW]. Power share from combustion engine: 100 [%]. Km over lifetime: 200000 [km]. Yearly mileage: 12000 [km/year]. Autonomy on a full tank/battery: 608 [km]. Tank-to-wheel efficiency: 19 [%]. Tank-to-wheel energy consumption: 1968 [kj/km]. Fuel tank capacity: 332 [kWh]. Curb mass (excl. driver and cargo): 1149 [kg]. Driving mass (incl. driver and cargo): 1289 [kg]. </t>
  </si>
  <si>
    <t xml:space="preserve">Combustion engine power: 74 [kW]. Power share from combustion engine: 100 [%]. Km over lifetime: 200000 [km]. Yearly mileage: 12000 [km/year]. Autonomy on a full tank/battery: 454 [km]. Tank-to-wheel efficiency: 20 [%]. Tank-to-wheel energy consumption: 1848 [kj/km]. Fuel tank capacity: 233 [kWh]. Curb mass (excl. driver and cargo): 1140 [kg]. Driving mass (incl. driver and cargo): 1280 [kg]. </t>
  </si>
  <si>
    <t xml:space="preserve">Combustion engine power: 46 [kW]. Electric motor power: 37 [kW]. Power share from combustion engine: 56 [%]. Km over lifetime: 200000 [km]. Yearly mileage: 12000 [km/year]. Autonomy on a full tank/battery: 861 [km]. Tank-to-wheel efficiency: 42 [%]. Tank-to-wheel energy consumption: 1242 [kj/km]. Battery capacity: 3 [kWh]. Fuel tank capacity: 388 [kWh]. Mass of battery: 73 [kg]. Curb mass (excl. driver and cargo): 1302 [kg]. Driving mass (incl. driver and cargo): 1442 [kg]. </t>
  </si>
  <si>
    <t xml:space="preserve">Combustion engine power: 36 [kW]. Electric motor power: 49 [kW]. Power share from combustion engine: 42 [%]. Km over lifetime: 200000 [km]. Yearly mileage: 12000 [km/year]. Autonomy on a full tank/battery: 1002 [km]. Tank-to-wheel efficiency: 50 [%]. Tank-to-wheel energy consumption: 1077 [kj/km]. Battery capacity: 6 [kWh]. Fuel tank capacity: 447 [kWh]. Mass of battery: 77 [kg]. Curb mass (excl. driver and cargo): 1316 [kg]. Driving mass (incl. driver and cargo): 1456 [kg]. </t>
  </si>
  <si>
    <t xml:space="preserve">Combustion engine power: 45 [kW]. Electric motor power: 37 [kW]. Power share from combustion engine: 56 [%]. Km over lifetime: 200000 [km]. Yearly mileage: 12000 [km/year]. Autonomy on a full tank/battery: 958 [km]. Tank-to-wheel efficiency: 44 [%]. Tank-to-wheel energy consumption: 1154 [kj/km]. Battery capacity: 3 [kWh]. Fuel tank capacity: 392 [kWh]. Mass of battery: 73 [kg]. Curb mass (excl. driver and cargo): 1280 [kg]. Driving mass (incl. driver and cargo): 1420 [kg]. </t>
  </si>
  <si>
    <t xml:space="preserve">Combustion engine power: 35 [kW]. Electric motor power: 49 [kW]. Power share from combustion engine: 42 [%]. Km over lifetime: 200000 [km]. Yearly mileage: 12000 [km/year]. Autonomy on a full tank/battery: 1151 [km]. Tank-to-wheel efficiency: 51 [%]. Tank-to-wheel energy consumption: 987 [kj/km]. Battery capacity: 6 [kWh]. Fuel tank capacity: 451 [kWh]. Mass of battery: 77 [kg]. Curb mass (excl. driver and cargo): 1300 [kg]. Driving mass (incl. driver and cargo): 1440 [kg]. </t>
  </si>
  <si>
    <t xml:space="preserve">Electric motor power: 78 [kW]. Km over lifetime: 200000 [km]. Yearly mileage: 12000 [km/year]. Autonomy on a full tank/battery: 458 [km]. Tank-to-wheel efficiency: 38 [%]. Tank-to-wheel energy consumption: 1098 [kj/km]. Fuel cell system efficiency: 50 [%]. Fuel tank capacity: 140 [kWh]. Curb mass (excl. driver and cargo): 1209 [kg]. Driving mass (incl. driver and cargo): 1349 [kg]. </t>
  </si>
  <si>
    <t xml:space="preserve">Electric motor power: 84 [kW]. Km over lifetime: 200000 [km]. Yearly mileage: 12000 [km/year]. Autonomy on a full tank/battery: 169 [km]. Tank-to-wheel efficiency: 71 [%]. Tank-to-wheel energy consumption: 590 [kj/km]. Battery capacity: 34 [kWh]. Mass of battery: 290 [kg]. Curb mass (excl. driver and cargo): 1300 [kg]. Driving mass (incl. driver and cargo): 1440 [kg]. </t>
  </si>
  <si>
    <t xml:space="preserve">Combustion engine power: 58 [kW]. Electric motor power: 19 [kW]. Power share from combustion engine: 75 [%]. Km over lifetime: 200000 [km]. Yearly mileage: 12000 [km/year]. Autonomy on a full tank/battery: 864 [km]. Tank-to-wheel efficiency: 25 [%]. Tank-to-wheel energy consumption: 1593 [kj/km]. Fuel tank capacity: 382 [kWh]. Curb mass (excl. driver and cargo): 1189 [kg]. Driving mass (incl. driver and cargo): 1329 [kg]. </t>
  </si>
  <si>
    <t xml:space="preserve">Combustion engine power: 58 [kW]. Electric motor power: 19 [kW]. Power share from combustion engine: 75 [%]. Km over lifetime: 200000 [km]. Yearly mileage: 12000 [km/year]. Autonomy on a full tank/battery: 875 [km]. Tank-to-wheel efficiency: 28 [%]. Tank-to-wheel energy consumption: 1453 [kj/km]. Fuel tank capacity: 353 [kWh]. Curb mass (excl. driver and cargo): 1204 [kg]. Driving mass (incl. driver and cargo): 1344 [kg]. </t>
  </si>
  <si>
    <t xml:space="preserve">Combustion engine power: 58 [kW]. Electric motor power: 19 [kW]. Power share from combustion engine: 75 [%]. Km over lifetime: 200000 [km]. Yearly mileage: 12000 [km/year]. Autonomy on a full tank/battery: 1059 [km]. Tank-to-wheel efficiency: 32 [%]. Tank-to-wheel energy consumption: 1312 [kj/km]. Fuel tank capacity: 386 [kWh]. Curb mass (excl. driver and cargo): 1208 [kg]. Driving mass (incl. driver and cargo): 1348 [kg]. </t>
  </si>
  <si>
    <t xml:space="preserve">Combustion engine power: 59 [kW]. Electric motor power: 19 [kW]. Power share from combustion engine: 75 [%]. Km over lifetime: 200000 [km]. Yearly mileage: 12000 [km/year]. Autonomy on a full tank/battery: 1084 [km]. Tank-to-wheel efficiency: 36 [%]. Tank-to-wheel energy consumption: 1184 [kj/km]. Fuel tank capacity: 356 [kWh]. Curb mass (excl. driver and cargo): 1223 [kg]. Driving mass (incl. driver and cargo): 1363 [kg]. </t>
  </si>
  <si>
    <t xml:space="preserve">Combustion engine power: 105 [kW]. Power share from combustion engine: 100 [%]. Km over lifetime: 200000 [km]. Yearly mileage: 12000 [km/year]. Autonomy on a full tank/battery: 737 [km]. Tank-to-wheel efficiency: 15 [%]. Tank-to-wheel energy consumption: 3450 [kj/km]. Fuel tank capacity: 706 [kWh]. Curb mass (excl. driver and cargo): 1619 [kg]. Driving mass (incl. driver and cargo): 1759 [kg]. </t>
  </si>
  <si>
    <t xml:space="preserve">Combustion engine power: 104 [kW]. Power share from combustion engine: 100 [%]. Km over lifetime: 200000 [km]. Yearly mileage: 12000 [km/year]. Autonomy on a full tank/battery: 712 [km]. Tank-to-wheel efficiency: 16 [%]. Tank-to-wheel energy consumption: 3272 [kj/km]. Fuel tank capacity: 647 [kWh]. Curb mass (excl. driver and cargo): 1609 [kg]. Driving mass (incl. driver and cargo): 1749 [kg]. </t>
  </si>
  <si>
    <t xml:space="preserve">Combustion engine power: 103 [kW]. Power share from combustion engine: 100 [%]. Km over lifetime: 200000 [km]. Yearly mileage: 12000 [km/year]. Autonomy on a full tank/battery: 683 [km]. Tank-to-wheel efficiency: 18 [%]. Tank-to-wheel energy consumption: 3100 [kj/km]. Fuel tank capacity: 588 [kWh]. Curb mass (excl. driver and cargo): 1599 [kg]. Driving mass (incl. driver and cargo): 1739 [kg]. </t>
  </si>
  <si>
    <t xml:space="preserve">Combustion engine power: 102 [kW]. Power share from combustion engine: 100 [%]. Km over lifetime: 200000 [km]. Yearly mileage: 12000 [km/year]. Autonomy on a full tank/battery: 773 [km]. Tank-to-wheel efficiency: 19 [%]. Tank-to-wheel energy consumption: 2876 [kj/km]. Fuel tank capacity: 618 [kWh]. Curb mass (excl. driver and cargo): 1573 [kg]. Driving mass (incl. driver and cargo): 1713 [kg]. </t>
  </si>
  <si>
    <t xml:space="preserve">Combustion engine power: 100 [kW]. Power share from combustion engine: 100 [%]. Km over lifetime: 200000 [km]. Yearly mileage: 12000 [km/year]. Autonomy on a full tank/battery: 873 [km]. Tank-to-wheel efficiency: 21 [%]. Tank-to-wheel energy consumption: 2669 [kj/km]. Fuel tank capacity: 647 [kWh]. Curb mass (excl. driver and cargo): 1547 [kg]. Driving mass (incl. driver and cargo): 1687 [kg]. </t>
  </si>
  <si>
    <t xml:space="preserve">Combustion engine power: 103 [kW]. Power share from combustion engine: 100 [%]. Km over lifetime: 200000 [km]. Yearly mileage: 12000 [km/year]. Autonomy on a full tank/battery: 836 [km]. Tank-to-wheel efficiency: 18 [%]. Tank-to-wheel energy consumption: 3069 [kj/km]. Fuel tank capacity: 713 [kWh]. Curb mass (excl. driver and cargo): 1592 [kg]. Driving mass (incl. driver and cargo): 1732 [kg]. </t>
  </si>
  <si>
    <t xml:space="preserve">Combustion engine power: 102 [kW]. Power share from combustion engine: 100 [%]. Km over lifetime: 200000 [km]. Yearly mileage: 12000 [km/year]. Autonomy on a full tank/battery: 813 [km]. Tank-to-wheel efficiency: 20 [%]. Tank-to-wheel energy consumption: 2893 [kj/km]. Fuel tank capacity: 653 [kWh]. Curb mass (excl. driver and cargo): 1581 [kg]. Driving mass (incl. driver and cargo): 1721 [kg]. </t>
  </si>
  <si>
    <t xml:space="preserve">Combustion engine power: 102 [kW]. Power share from combustion engine: 100 [%]. Km over lifetime: 200000 [km]. Yearly mileage: 12000 [km/year]. Autonomy on a full tank/battery: 784 [km]. Tank-to-wheel efficiency: 22 [%]. Tank-to-wheel energy consumption: 2726 [kj/km]. Fuel tank capacity: 594 [kWh]. Curb mass (excl. driver and cargo): 1571 [kg]. Driving mass (incl. driver and cargo): 1711 [kg]. </t>
  </si>
  <si>
    <t xml:space="preserve">Combustion engine power: 102 [kW]. Power share from combustion engine: 100 [%]. Km over lifetime: 200000 [km]. Yearly mileage: 12000 [km/year]. Autonomy on a full tank/battery: 854 [km]. Tank-to-wheel efficiency: 23 [%]. Tank-to-wheel energy consumption: 2628 [kj/km]. Fuel tank capacity: 624 [kWh]. Curb mass (excl. driver and cargo): 1570 [kg]. Driving mass (incl. driver and cargo): 1710 [kg]. </t>
  </si>
  <si>
    <t xml:space="preserve">Combustion engine power: 101 [kW]. Power share from combustion engine: 100 [%]. Km over lifetime: 200000 [km]. Yearly mileage: 12000 [km/year]. Autonomy on a full tank/battery: 929 [km]. Tank-to-wheel efficiency: 23 [%]. Tank-to-wheel energy consumption: 2532 [kj/km]. Fuel tank capacity: 653 [kWh]. Curb mass (excl. driver and cargo): 1568 [kg]. Driving mass (incl. driver and cargo): 1708 [kg]. </t>
  </si>
  <si>
    <t xml:space="preserve">Combustion engine power: 92 [kW]. Power share from combustion engine: 100 [%]. Km over lifetime: 200000 [km]. Yearly mileage: 12000 [km/year]. Autonomy on a full tank/battery: 584 [km]. Tank-to-wheel efficiency: 14 [%]. Tank-to-wheel energy consumption: 3226 [kj/km]. Fuel tank capacity: 524 [kWh]. Curb mass (excl. driver and cargo): 1430 [kg]. Driving mass (incl. driver and cargo): 1570 [kg]. </t>
  </si>
  <si>
    <t xml:space="preserve">Combustion engine power: 92 [kW]. Power share from combustion engine: 100 [%]. Km over lifetime: 200000 [km]. Yearly mileage: 12000 [km/year]. Autonomy on a full tank/battery: 562 [km]. Tank-to-wheel efficiency: 16 [%]. Tank-to-wheel energy consumption: 3056 [kj/km]. Fuel tank capacity: 477 [kWh]. Curb mass (excl. driver and cargo): 1416 [kg]. Driving mass (incl. driver and cargo): 1556 [kg]. </t>
  </si>
  <si>
    <t xml:space="preserve">Combustion engine power: 91 [kW]. Power share from combustion engine: 100 [%]. Km over lifetime: 200000 [km]. Yearly mileage: 12000 [km/year]. Autonomy on a full tank/battery: 536 [km]. Tank-to-wheel efficiency: 17 [%]. Tank-to-wheel energy consumption: 2897 [kj/km]. Fuel tank capacity: 431 [kWh]. Curb mass (excl. driver and cargo): 1403 [kg]. Driving mass (incl. driver and cargo): 1543 [kg]. </t>
  </si>
  <si>
    <t xml:space="preserve">Combustion engine power: 96 [kW]. Power share from combustion engine: 100 [%]. Km over lifetime: 200000 [km]. Yearly mileage: 12000 [km/year]. Autonomy on a full tank/battery: 515 [km]. Tank-to-wheel efficiency: 19 [%]. Tank-to-wheel energy consumption: 2833 [kj/km]. Fuel tank capacity: 405 [kWh]. Curb mass (excl. driver and cargo): 1487 [kg]. Driving mass (incl. driver and cargo): 1627 [kg]. </t>
  </si>
  <si>
    <t xml:space="preserve">Combustion engine power: 102 [kW]. Power share from combustion engine: 100 [%]. Km over lifetime: 200000 [km]. Yearly mileage: 12000 [km/year]. Autonomy on a full tank/battery: 496 [km]. Tank-to-wheel efficiency: 20 [%]. Tank-to-wheel energy consumption: 2752 [kj/km]. Fuel tank capacity: 379 [kWh]. Curb mass (excl. driver and cargo): 1571 [kg]. Driving mass (incl. driver and cargo): 1711 [kg]. </t>
  </si>
  <si>
    <t xml:space="preserve">Combustion engine power: 56 [kW]. Electric motor power: 56 [kW]. Power share from combustion engine: 49 [%]. Km over lifetime: 200000 [km]. Yearly mileage: 12000 [km/year]. Autonomy on a full tank/battery: 728 [km]. Tank-to-wheel efficiency: 43 [%]. Tank-to-wheel energy consumption: 1932 [kj/km]. Battery capacity: 8 [kWh]. Fuel tank capacity: 535 [kWh]. Mass of battery: 140 [kg]. Curb mass (excl. driver and cargo): 1737 [kg]. Driving mass (incl. driver and cargo): 1877 [kg]. </t>
  </si>
  <si>
    <t xml:space="preserve">Combustion engine power: 39 [kW]. Electric motor power: 73 [kW]. Power share from combustion engine: 34 [%]. Km over lifetime: 200000 [km]. Yearly mileage: 12000 [km/year]. Autonomy on a full tank/battery: 908 [km]. Tank-to-wheel efficiency: 52 [%]. Tank-to-wheel energy consumption: 1592 [kj/km]. Battery capacity: 14 [kWh]. Fuel tank capacity: 647 [kWh]. Mass of battery: 152 [kg]. Curb mass (excl. driver and cargo): 1737 [kg]. Driving mass (incl. driver and cargo): 1877 [kg]. </t>
  </si>
  <si>
    <t xml:space="preserve">Combustion engine power: 54 [kW]. Electric motor power: 56 [kW]. Power share from combustion engine: 49 [%]. Km over lifetime: 200000 [km]. Yearly mileage: 12000 [km/year]. Autonomy on a full tank/battery: 749 [km]. Tank-to-wheel efficiency: 43 [%]. Tank-to-wheel energy consumption: 1905 [kj/km]. Battery capacity: 8 [kWh]. Fuel tank capacity: 540 [kWh]. Mass of battery: 140 [kg]. Curb mass (excl. driver and cargo): 1711 [kg]. Driving mass (incl. driver and cargo): 1851 [kg]. </t>
  </si>
  <si>
    <t xml:space="preserve">Combustion engine power: 38 [kW]. Electric motor power: 73 [kW]. Power share from combustion engine: 34 [%]. Km over lifetime: 200000 [km]. Yearly mileage: 12000 [km/year]. Autonomy on a full tank/battery: 933 [km]. Tank-to-wheel efficiency: 52 [%]. Tank-to-wheel energy consumption: 1574 [kj/km]. Battery capacity: 14 [kWh]. Fuel tank capacity: 653 [kWh]. Mass of battery: 152 [kg]. Curb mass (excl. driver and cargo): 1720 [kg]. Driving mass (incl. driver and cargo): 1860 [kg]. </t>
  </si>
  <si>
    <t xml:space="preserve">Electric motor power: 109 [kW]. Km over lifetime: 200000 [km]. Yearly mileage: 12000 [km/year]. Autonomy on a full tank/battery: 411 [km]. Tank-to-wheel efficiency: 38 [%]. Tank-to-wheel energy consumption: 1749 [kj/km]. Fuel cell system efficiency: 50 [%]. Fuel tank capacity: 200 [kWh]. Curb mass (excl. driver and cargo): 1683 [kg]. Driving mass (incl. driver and cargo): 1823 [kg]. </t>
  </si>
  <si>
    <t xml:space="preserve">Electric motor power: 128 [kW]. Km over lifetime: 200000 [km]. Yearly mileage: 12000 [km/year]. Autonomy on a full tank/battery: 200 [km]. Tank-to-wheel efficiency: 71 [%]. Tank-to-wheel energy consumption: 999 [kj/km]. Battery capacity: 69 [kWh]. Mass of battery: 580 [kg]. Curb mass (excl. driver and cargo): 1975 [kg]. Driving mass (incl. driver and cargo): 2115 [kg]. </t>
  </si>
  <si>
    <t xml:space="preserve">Combustion engine power: 82 [kW]. Electric motor power: 27 [kW]. Power share from combustion engine: 75 [%]. Km over lifetime: 200000 [km]. Yearly mileage: 12000 [km/year]. Autonomy on a full tank/battery: 741 [km]. Tank-to-wheel efficiency: 22 [%]. Tank-to-wheel energy consumption: 2717 [kj/km]. Fuel tank capacity: 559 [kWh]. Curb mass (excl. driver and cargo): 1694 [kg]. Driving mass (incl. driver and cargo): 1834 [kg]. </t>
  </si>
  <si>
    <t xml:space="preserve">Combustion engine power: 81 [kW]. Electric motor power: 27 [kW]. Power share from combustion engine: 75 [%]. Km over lifetime: 200000 [km]. Yearly mileage: 12000 [km/year]. Autonomy on a full tank/battery: 779 [km]. Tank-to-wheel efficiency: 25 [%]. Tank-to-wheel energy consumption: 2448 [kj/km]. Fuel tank capacity: 530 [kWh]. Curb mass (excl. driver and cargo): 1681 [kg]. Driving mass (incl. driver and cargo): 1821 [kg]. </t>
  </si>
  <si>
    <t xml:space="preserve">Combustion engine power: 82 [kW]. Electric motor power: 27 [kW]. Power share from combustion engine: 75 [%]. Km over lifetime: 200000 [km]. Yearly mileage: 12000 [km/year]. Autonomy on a full tank/battery: 825 [km]. Tank-to-wheel efficiency: 25 [%]. Tank-to-wheel energy consumption: 2462 [kj/km]. Fuel tank capacity: 564 [kWh]. Curb mass (excl. driver and cargo): 1695 [kg]. Driving mass (incl. driver and cargo): 1835 [kg]. </t>
  </si>
  <si>
    <t xml:space="preserve">Combustion engine power: 81 [kW]. Electric motor power: 27 [kW]. Power share from combustion engine: 75 [%]. Km over lifetime: 200000 [km]. Yearly mileage: 12000 [km/year]. Autonomy on a full tank/battery: 845 [km]. Tank-to-wheel efficiency: 27 [%]. Tank-to-wheel energy consumption: 2278 [kj/km]. Fuel tank capacity: 534 [kWh]. Curb mass (excl. driver and cargo): 1681 [kg]. Driving mass (incl. driver and cargo): 1821 [kg]. </t>
  </si>
  <si>
    <t>Cradle-to-grave life cycle inventory of a passenger car over its lifetime. carculator is a open-source parametrized truck model that produces life cycle inventories for any desired set of parameters value (lifetime, occupancy rate, power, battery size, fuel blend, etc.): to produce your own inventories, go to https://github.com/romainsacchi/carculator or contact carculator@psi.ch.</t>
  </si>
  <si>
    <t>market for glider, passenger car</t>
  </si>
  <si>
    <t>glider, passenger car</t>
  </si>
  <si>
    <t>market for internal combustion engine, passenger car</t>
  </si>
  <si>
    <t>powertrain</t>
  </si>
  <si>
    <t>treatment of used glider, passenger car, shredding</t>
  </si>
  <si>
    <t>used glider, passenger car</t>
  </si>
  <si>
    <t>market for electric motor, electric passenger car</t>
  </si>
  <si>
    <t>electric motor, electric passenger car</t>
  </si>
  <si>
    <t>market for used powertrain from electric passenger car, manual dismantling</t>
  </si>
  <si>
    <t>used powertrain from electric passenger car, manual dismantling</t>
  </si>
  <si>
    <t>EoL</t>
  </si>
  <si>
    <t>market for charger, electric passenger car</t>
  </si>
  <si>
    <t>charger, electric passenger car</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</si>
  <si>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</si>
  <si>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</si>
  <si>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</si>
  <si>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</si>
  <si>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</si>
  <si>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</si>
  <si>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Sacchi, R., Bauer, C., Cox, B. and Mutel, C.  carculator: an open-source tool for prospective environmental and economic life cycle assessment of vehicles. When, Where and How can battery-electric vehicles help reduce greenhouse gas emissions? Submitted to Renewable and Sustainable Energy Reviews.</t>
  </si>
  <si>
    <t>Passenger car, gasoline, Large, EURO-6d</t>
  </si>
  <si>
    <t>Passenger car, diesel, Large, EURO-6d</t>
  </si>
  <si>
    <t>Passenger car, compressed gas, Large, EURO-6d</t>
  </si>
  <si>
    <t>Passenger car, plugin gasoline hybrid, Large, EURO-6d</t>
  </si>
  <si>
    <t>Passenger car, plugin diesel hybrid, Large, EURO-6d</t>
  </si>
  <si>
    <t>Passenger car, gasoline hybrid, Large, EURO-6d</t>
  </si>
  <si>
    <t>Passenger car, diesel hybrid, Large, EURO-6d</t>
  </si>
  <si>
    <t>Passenger car, gasoline, Large SUV, EURO-6d</t>
  </si>
  <si>
    <t>Passenger car, diesel, Large SUV, EURO-6d</t>
  </si>
  <si>
    <t>Passenger car, compressed gas, Large SUV, EURO-6d</t>
  </si>
  <si>
    <t>Passenger car, plugin gasoline hybrid, Large SUV, EURO-6d</t>
  </si>
  <si>
    <t>Passenger car, plugin diesel hybrid, Large SUV, EURO-6d</t>
  </si>
  <si>
    <t>Passenger car, gasoline hybrid, Large SUV, EURO-6d</t>
  </si>
  <si>
    <t>Passenger car, diesel hybrid, Large SUV, EURO-6d</t>
  </si>
  <si>
    <t>Passenger car, gasoline, Lower medium, EURO-6d</t>
  </si>
  <si>
    <t>Passenger car, diesel, Lower medium, EURO-6d</t>
  </si>
  <si>
    <t>Passenger car, compressed gas, Lower medium, EURO-6d</t>
  </si>
  <si>
    <t>Passenger car, plugin gasoline hybrid, Lower medium, EURO-6d</t>
  </si>
  <si>
    <t>Passenger car, plugin diesel hybrid, Lower medium, EURO-6d</t>
  </si>
  <si>
    <t>Passenger car, gasoline hybrid, Lower medium, EURO-6d</t>
  </si>
  <si>
    <t>Passenger car, diesel hybrid, Lower medium, EURO-6d</t>
  </si>
  <si>
    <t>Passenger car, gasoline, Medium, EURO-6d</t>
  </si>
  <si>
    <t>Passenger car, diesel, Medium, EURO-6d</t>
  </si>
  <si>
    <t>Passenger car, compressed gas, Medium, EURO-6d</t>
  </si>
  <si>
    <t>Passenger car, plugin gasoline hybrid, Medium, EURO-6d</t>
  </si>
  <si>
    <t>Passenger car, plugin diesel hybrid, Medium, EURO-6d</t>
  </si>
  <si>
    <t>Passenger car, gasoline hybrid, Medium, EURO-6d</t>
  </si>
  <si>
    <t>Passenger car, diesel hybrid, Medium, EURO-6d</t>
  </si>
  <si>
    <t>Passenger car, gasoline, Medium SUV, EURO-6d</t>
  </si>
  <si>
    <t>Passenger car, diesel, Medium SUV, EURO-6d</t>
  </si>
  <si>
    <t>Passenger car, compressed gas, Medium SUV, EURO-6d</t>
  </si>
  <si>
    <t>Passenger car, plugin gasoline hybrid, Medium SUV, EURO-6d</t>
  </si>
  <si>
    <t>Passenger car, plugin diesel hybrid, Medium SUV, EURO-6d</t>
  </si>
  <si>
    <t>Passenger car, gasoline hybrid, Medium SUV, EURO-6d</t>
  </si>
  <si>
    <t>Passenger car, diesel hybrid, Medium SUV, EURO-6d</t>
  </si>
  <si>
    <t>Passenger car, gasoline, Mini, EURO-6d</t>
  </si>
  <si>
    <t>Passenger car, diesel, Mini, EURO-6d</t>
  </si>
  <si>
    <t>Passenger car, compressed gas, Mini, EURO-6d</t>
  </si>
  <si>
    <t>Passenger car, plugin gasoline hybrid, Mini, EURO-6d</t>
  </si>
  <si>
    <t>Passenger car, plugin diesel hybrid, Mini, EURO-6d</t>
  </si>
  <si>
    <t>Passenger car, gasoline hybrid, Mini, EURO-6d</t>
  </si>
  <si>
    <t>Passenger car, diesel hybrid, Mini, EURO-6d</t>
  </si>
  <si>
    <t>Passenger car, gasoline, Small, EURO-6d</t>
  </si>
  <si>
    <t>Passenger car, diesel, Small, EURO-6d</t>
  </si>
  <si>
    <t>Passenger car, compressed gas, Small, EURO-6d</t>
  </si>
  <si>
    <t>Passenger car, plugin gasoline hybrid, Small, EURO-6d</t>
  </si>
  <si>
    <t>Passenger car, plugin diesel hybrid, Small, EURO-6d</t>
  </si>
  <si>
    <t>Passenger car, gasoline hybrid, Small, EURO-6d</t>
  </si>
  <si>
    <t>Passenger car, diesel hybrid, Small, EURO-6d</t>
  </si>
  <si>
    <t>Passenger car, gasoline, Van, EURO-6d</t>
  </si>
  <si>
    <t>Passenger car, diesel, Van, EURO-6d</t>
  </si>
  <si>
    <t>Passenger car, compressed gas, Van, EURO-6d</t>
  </si>
  <si>
    <t>Passenger car, plugin gasoline hybrid, Van, EURO-6d</t>
  </si>
  <si>
    <t>Passenger car, plugin diesel hybrid, Van, EURO-6d</t>
  </si>
  <si>
    <t>Passenger car, gasoline hybrid, Van, EURO-6d</t>
  </si>
  <si>
    <t>Passenger car, diesel hybrid, Van, EURO-6d</t>
  </si>
  <si>
    <t>Passenger car, gasoline, Large, EURO-6ab</t>
  </si>
  <si>
    <t>Passenger car, diesel, Large, EURO-6ab</t>
  </si>
  <si>
    <t>Passenger car, compressed gas, Large, EURO-6ab</t>
  </si>
  <si>
    <t>Passenger car, plugin gasoline hybrid, Large, EURO-6ab</t>
  </si>
  <si>
    <t>Passenger car, plugin diesel hybrid, Large, EURO-6ab</t>
  </si>
  <si>
    <t>Passenger car, gasoline hybrid, Large, EURO-6ab</t>
  </si>
  <si>
    <t>Passenger car, diesel hybrid, Large, EURO-6ab</t>
  </si>
  <si>
    <t>Passenger car, gasoline, Large SUV, EURO-6ab</t>
  </si>
  <si>
    <t>Passenger car, diesel, Large SUV, EURO-6ab</t>
  </si>
  <si>
    <t>Passenger car, compressed gas, Large SUV, EURO-6ab</t>
  </si>
  <si>
    <t>Passenger car, plugin gasoline hybrid, Large SUV, EURO-6ab</t>
  </si>
  <si>
    <t>Passenger car, plugin diesel hybrid, Large SUV, EURO-6ab</t>
  </si>
  <si>
    <t>Passenger car, gasoline hybrid, Large SUV, EURO-6ab</t>
  </si>
  <si>
    <t>Passenger car, diesel hybrid, Large SUV, EURO-6ab</t>
  </si>
  <si>
    <t>Passenger car, gasoline, Lower medium, EURO-6ab</t>
  </si>
  <si>
    <t>Passenger car, diesel, Lower medium, EURO-6ab</t>
  </si>
  <si>
    <t>Passenger car, compressed gas, Lower medium, EURO-6ab</t>
  </si>
  <si>
    <t>Passenger car, plugin gasoline hybrid, Lower medium, EURO-6ab</t>
  </si>
  <si>
    <t>Passenger car, plugin diesel hybrid, Lower medium, EURO-6ab</t>
  </si>
  <si>
    <t>Passenger car, gasoline hybrid, Lower medium, EURO-6ab</t>
  </si>
  <si>
    <t>Passenger car, diesel hybrid, Lower medium, EURO-6ab</t>
  </si>
  <si>
    <t>Passenger car, gasoline, Medium, EURO-6ab</t>
  </si>
  <si>
    <t>Passenger car, diesel, Medium, EURO-6ab</t>
  </si>
  <si>
    <t>Passenger car, compressed gas, Medium, EURO-6ab</t>
  </si>
  <si>
    <t>Passenger car, plugin gasoline hybrid, Medium, EURO-6ab</t>
  </si>
  <si>
    <t>Passenger car, plugin diesel hybrid, Medium, EURO-6ab</t>
  </si>
  <si>
    <t>Passenger car, gasoline hybrid, Medium, EURO-6ab</t>
  </si>
  <si>
    <t>Passenger car, diesel hybrid, Medium, EURO-6ab</t>
  </si>
  <si>
    <t>Passenger car, gasoline, Medium SUV, EURO-6ab</t>
  </si>
  <si>
    <t>Passenger car, diesel, Medium SUV, EURO-6ab</t>
  </si>
  <si>
    <t>Passenger car, compressed gas, Medium SUV, EURO-6ab</t>
  </si>
  <si>
    <t>Passenger car, plugin gasoline hybrid, Medium SUV, EURO-6ab</t>
  </si>
  <si>
    <t>Passenger car, plugin diesel hybrid, Medium SUV, EURO-6ab</t>
  </si>
  <si>
    <t>Passenger car, gasoline hybrid, Medium SUV, EURO-6ab</t>
  </si>
  <si>
    <t>Passenger car, diesel hybrid, Medium SUV, EURO-6ab</t>
  </si>
  <si>
    <t>Passenger car, gasoline, Mini, EURO-6ab</t>
  </si>
  <si>
    <t>Passenger car, diesel, Mini, EURO-6ab</t>
  </si>
  <si>
    <t>Passenger car, compressed gas, Mini, EURO-6ab</t>
  </si>
  <si>
    <t>Passenger car, plugin gasoline hybrid, Mini, EURO-6ab</t>
  </si>
  <si>
    <t>Passenger car, plugin diesel hybrid, Mini, EURO-6ab</t>
  </si>
  <si>
    <t>Passenger car, gasoline hybrid, Mini, EURO-6ab</t>
  </si>
  <si>
    <t>Passenger car, diesel hybrid, Mini, EURO-6ab</t>
  </si>
  <si>
    <t>Passenger car, gasoline, Small, EURO-6ab</t>
  </si>
  <si>
    <t>Passenger car, diesel, Small, EURO-6ab</t>
  </si>
  <si>
    <t>Passenger car, compressed gas, Small, EURO-6ab</t>
  </si>
  <si>
    <t>Passenger car, plugin gasoline hybrid, Small, EURO-6ab</t>
  </si>
  <si>
    <t>Passenger car, plugin diesel hybrid, Small, EURO-6ab</t>
  </si>
  <si>
    <t>Passenger car, gasoline hybrid, Small, EURO-6ab</t>
  </si>
  <si>
    <t>Passenger car, diesel hybrid, Small, EURO-6ab</t>
  </si>
  <si>
    <t>Passenger car, gasoline, Van, EURO-6ab</t>
  </si>
  <si>
    <t>Passenger car, diesel, Van, EURO-6ab</t>
  </si>
  <si>
    <t>Passenger car, compressed gas, Van, EURO-6ab</t>
  </si>
  <si>
    <t>Passenger car, plugin gasoline hybrid, Van, EURO-6ab</t>
  </si>
  <si>
    <t>Passenger car, plugin diesel hybrid, Van, EURO-6ab</t>
  </si>
  <si>
    <t>Passenger car, gasoline hybrid, Van, EURO-6ab</t>
  </si>
  <si>
    <t>Passenger car, diesel hybrid, Van, EURO-6ab</t>
  </si>
  <si>
    <t>Passenger car, gasoline, Large, EURO-4</t>
  </si>
  <si>
    <t>Passenger car, diesel, Large, EURO-4</t>
  </si>
  <si>
    <t>Passenger car, compressed gas, Large, EURO-4</t>
  </si>
  <si>
    <t>Passenger car, gasoline, Large SUV, EURO-4</t>
  </si>
  <si>
    <t>Passenger car, diesel, Large SUV, EURO-4</t>
  </si>
  <si>
    <t>Passenger car, compressed gas, Large SUV, EURO-4</t>
  </si>
  <si>
    <t>Passenger car, gasoline, Lower medium, EURO-4</t>
  </si>
  <si>
    <t>Passenger car, diesel, Lower medium, EURO-4</t>
  </si>
  <si>
    <t>Passenger car, compressed gas, Lower medium, EURO-4</t>
  </si>
  <si>
    <t>Passenger car, gasoline, Medium, EURO-4</t>
  </si>
  <si>
    <t>Passenger car, diesel, Medium, EURO-4</t>
  </si>
  <si>
    <t>Passenger car, compressed gas, Medium, EURO-4</t>
  </si>
  <si>
    <t>Passenger car, gasoline, Medium SUV, EURO-4</t>
  </si>
  <si>
    <t>Passenger car, diesel, Medium SUV, EURO-4</t>
  </si>
  <si>
    <t>Passenger car, compressed gas, Medium SUV, EURO-4</t>
  </si>
  <si>
    <t>Passenger car, gasoline, Mini, EURO-4</t>
  </si>
  <si>
    <t>Passenger car, diesel, Mini, EURO-4</t>
  </si>
  <si>
    <t>Passenger car, compressed gas, Mini, EURO-4</t>
  </si>
  <si>
    <t>Passenger car, gasoline, Small, EURO-4</t>
  </si>
  <si>
    <t>Passenger car, diesel, Small, EURO-4</t>
  </si>
  <si>
    <t>Passenger car, compressed gas, Small, EURO-4</t>
  </si>
  <si>
    <t>Passenger car, gasoline, Van, EURO-4</t>
  </si>
  <si>
    <t>Passenger car, diesel, Van, EURO-4</t>
  </si>
  <si>
    <t>Passenger car, compressed gas, Van, EURO-4</t>
  </si>
  <si>
    <t>Passenger car, gasoline, Large, EURO-3</t>
  </si>
  <si>
    <t>Passenger car, diesel, Large, EURO-3</t>
  </si>
  <si>
    <t>Passenger car, compressed gas, Large, EURO-3</t>
  </si>
  <si>
    <t>Passenger car, gasoline, Large SUV, EURO-3</t>
  </si>
  <si>
    <t>Passenger car, diesel, Large SUV, EURO-3</t>
  </si>
  <si>
    <t>Passenger car, compressed gas, Large SUV, EURO-3</t>
  </si>
  <si>
    <t>Passenger car, gasoline, Lower medium, EURO-3</t>
  </si>
  <si>
    <t>Passenger car, diesel, Lower medium, EURO-3</t>
  </si>
  <si>
    <t>Passenger car, compressed gas, Lower medium, EURO-3</t>
  </si>
  <si>
    <t>Passenger car, gasoline, Medium, EURO-3</t>
  </si>
  <si>
    <t>Passenger car, diesel, Medium, EURO-3</t>
  </si>
  <si>
    <t>Passenger car, compressed gas, Medium, EURO-3</t>
  </si>
  <si>
    <t>Passenger car, gasoline, Medium SUV, EURO-3</t>
  </si>
  <si>
    <t>Passenger car, diesel, Medium SUV, EURO-3</t>
  </si>
  <si>
    <t>Passenger car, compressed gas, Medium SUV, EURO-3</t>
  </si>
  <si>
    <t>Passenger car, gasoline, Mini, EURO-3</t>
  </si>
  <si>
    <t>Passenger car, diesel, Mini, EURO-3</t>
  </si>
  <si>
    <t>Passenger car, compressed gas, Mini, EURO-3</t>
  </si>
  <si>
    <t>Passenger car, gasoline, Small, EURO-3</t>
  </si>
  <si>
    <t>Passenger car, diesel, Small, EURO-3</t>
  </si>
  <si>
    <t>Passenger car, compressed gas, Small, EURO-3</t>
  </si>
  <si>
    <t>Passenger car, gasoline, Van, EURO-3</t>
  </si>
  <si>
    <t>Passenger car, diesel, Van, EURO-3</t>
  </si>
  <si>
    <t>Passenger car, compressed gas, Van, EURO-3</t>
  </si>
  <si>
    <t>Passenger car, gasoline, Large, EURO-2</t>
  </si>
  <si>
    <t>Passenger car, diesel, Large, EURO-2</t>
  </si>
  <si>
    <t>Passenger car, compressed gas, Large, EURO-2</t>
  </si>
  <si>
    <t>Passenger car, gasoline, Large SUV, EURO-2</t>
  </si>
  <si>
    <t>Passenger car, diesel, Large SUV, EURO-2</t>
  </si>
  <si>
    <t>Passenger car, compressed gas, Large SUV, EURO-2</t>
  </si>
  <si>
    <t>Passenger car, gasoline, Lower medium, EURO-2</t>
  </si>
  <si>
    <t>Passenger car, diesel, Lower medium, EURO-2</t>
  </si>
  <si>
    <t>Passenger car, compressed gas, Lower medium, EURO-2</t>
  </si>
  <si>
    <t>Passenger car, gasoline, Medium, EURO-2</t>
  </si>
  <si>
    <t>Passenger car, diesel, Medium, EURO-2</t>
  </si>
  <si>
    <t>Passenger car, compressed gas, Medium, EURO-2</t>
  </si>
  <si>
    <t>Passenger car, gasoline, Medium SUV, EURO-2</t>
  </si>
  <si>
    <t>Passenger car, diesel, Medium SUV, EURO-2</t>
  </si>
  <si>
    <t>Passenger car, compressed gas, Medium SUV, EURO-2</t>
  </si>
  <si>
    <t>Passenger car, gasoline, Mini, EURO-2</t>
  </si>
  <si>
    <t>Passenger car, diesel, Mini, EURO-2</t>
  </si>
  <si>
    <t>Passenger car, compressed gas, Mini, EURO-2</t>
  </si>
  <si>
    <t>Passenger car, gasoline, Small, EURO-2</t>
  </si>
  <si>
    <t>Passenger car, diesel, Small, EURO-2</t>
  </si>
  <si>
    <t>Passenger car, compressed gas, Small, EURO-2</t>
  </si>
  <si>
    <t>Passenger car, gasoline, Van, EURO-2</t>
  </si>
  <si>
    <t>Passenger car, diesel, Van, EURO-2</t>
  </si>
  <si>
    <t>Passenger car, compressed gas, Van, EURO-2</t>
  </si>
  <si>
    <t>Passenger car, fuel cell electric, Large</t>
  </si>
  <si>
    <t>Passenger car, fuel cell electric, Large SUV</t>
  </si>
  <si>
    <t>Passenger car, fuel cell electric, Lower medium</t>
  </si>
  <si>
    <t>Passenger car, fuel cell electric, Medium</t>
  </si>
  <si>
    <t>Passenger car, fuel cell electric, Medium SUV</t>
  </si>
  <si>
    <t>Passenger car, fuel cell electric, Mini</t>
  </si>
  <si>
    <t>Passenger car, fuel cell electric, Small</t>
  </si>
  <si>
    <t>Passenger car, fuel cell electric, Van</t>
  </si>
  <si>
    <t>fuel tank assembly, compressed hydrogen gas, 700bar</t>
  </si>
  <si>
    <t>fuel tank, compressed hydrogen gas, 700bar</t>
  </si>
  <si>
    <t>fuel tank assembly, compressed natural gas, 200 bar</t>
  </si>
  <si>
    <t>fuel tank, compressed natural gas, 200 bar</t>
  </si>
  <si>
    <t>Passenger car, battery electric, Large</t>
  </si>
  <si>
    <t>Passenger car, battery electric, Large SUV</t>
  </si>
  <si>
    <t>Passenger car, battery electric, Lower medium</t>
  </si>
  <si>
    <t>Passenger car, battery electric, Medium</t>
  </si>
  <si>
    <t>Passenger car, battery electric, Medium SUV</t>
  </si>
  <si>
    <t>Passenger car, battery electric, Micro</t>
  </si>
  <si>
    <t>Passenger car, battery electric, Mini</t>
  </si>
  <si>
    <t>Passenger car, battery electric, Small</t>
  </si>
  <si>
    <t>Passenger car, battery electric, Van</t>
  </si>
  <si>
    <t>market for transport, freight, lorry, 16-32 metric ton, diesel, EURO 3</t>
  </si>
  <si>
    <t>transport, freight, lorry, 16-32 metric ton, diesel, EURO 3</t>
  </si>
  <si>
    <t>transport, freight, lorry, diesel, unspecified</t>
  </si>
  <si>
    <t>internal combustion engine, passenger car</t>
  </si>
  <si>
    <t>treatment of used internal combustion engine, passenger car, shredding</t>
  </si>
  <si>
    <t>used internal combustion engine, passenger car</t>
  </si>
  <si>
    <t>fuel cell production, polymer electrolyte membrane, 2kW electrical, future</t>
  </si>
  <si>
    <t>fuel cell, polymer electrolyte membrane, 2kW electrical, future</t>
  </si>
  <si>
    <t>CH</t>
  </si>
  <si>
    <t>Boureima et al. 2009</t>
  </si>
  <si>
    <t>a Type IV fuel tank for automobile applications. It is an aluminium tank reinforced with carbon fibre. Fittings are stainless steel. Weight compoistion by material fraction from Argonne National Labs 2010 assessment.</t>
  </si>
  <si>
    <t>epoxy resin production, liquid</t>
  </si>
  <si>
    <t>lci-long_haul_trucks</t>
  </si>
  <si>
    <t>epoxy resin, liquid</t>
  </si>
  <si>
    <t>market for compressed air, 1000 kPa gauge</t>
  </si>
  <si>
    <t>cubic meter</t>
  </si>
  <si>
    <t>compressed air, 1000 kPa gauge</t>
  </si>
  <si>
    <t>carbon fiber production, weaved, at factory</t>
  </si>
  <si>
    <t>carbon fiber, weaved</t>
  </si>
  <si>
    <t>Based on a 102 kg heavy Type IV hydrogen tank, with HDPE liner. 7.5 kg heavy protection HDPE liner.</t>
  </si>
  <si>
    <t>Benitez A, Wulf C, de Palmenaer A, Lengersdorf M, Röding T, Grube T, et al. Ecological assessment of fuel cell electric vehicles with special focus on type IV carbon fiber hydrogen tank. J Clean Prod 2021;278:123277. https://doi.org/10.1016/j.jclepro.2020.123277.</t>
  </si>
  <si>
    <t>Car db</t>
  </si>
  <si>
    <t>ecoinvent</t>
  </si>
  <si>
    <t>ecoinvent 3.5 cutoff</t>
  </si>
  <si>
    <t>Fuel tank, compressed hydrogen gas, 700bar, with HDPE liner</t>
  </si>
  <si>
    <t>Hydrogen tank</t>
  </si>
  <si>
    <t>Evangelisti et al. 2017, doi: 10.1016/j.jclepro.2016.11.159</t>
  </si>
  <si>
    <t>a carbon fiber-resin (CF) composite-wrapped single tank system, with a high density polyethylene (HDPE) liner (i.e., Type IV tanks) capable of storing 5.6 kg usable hydrogen, weighting 119 kg per unit.</t>
  </si>
  <si>
    <t>market for steel, chromium steel 18/8</t>
  </si>
  <si>
    <t>steel, chromium steel 18/8</t>
  </si>
  <si>
    <t>market for aluminium alloy, AlLi</t>
  </si>
  <si>
    <t>aluminium alloy, AlLi</t>
  </si>
  <si>
    <t>market for glass fibre</t>
  </si>
  <si>
    <t>glass fibre</t>
  </si>
  <si>
    <t>market for polyurethane, flexible foam</t>
  </si>
  <si>
    <t>polyurethane, flexible foam</t>
  </si>
  <si>
    <t>Fuel tank, compressed hydrogen gas, 700bar, with aluminium liner</t>
  </si>
  <si>
    <t>An aluminium lined hydrogen tank (Type III), weighting 93 kg per unit.</t>
  </si>
  <si>
    <t>market for sheet rolling, aluminium</t>
  </si>
  <si>
    <t>sheet rolling, aluminium</t>
  </si>
  <si>
    <t>Daniele Candelaresi, Antonio Valente, Diego Iribarren, Javier Dufour, Giuseppe Spazzafumo, Comparative life cycle assessment of hydrogen-fuelled passenger cars, International Journal of Hydrogen Energy, 2021, ISSN 0360-3199, https://doi.org/10.1016/j.ijhydene.2021.01.034.</t>
  </si>
  <si>
    <t>polyacrylonitrile production (PAN) by polymerisation</t>
  </si>
  <si>
    <t>1 kg of finished carbon fiber Toray T700 G. Carbon fiber manufacturing. Source: based on Ellringmann et al. (2016), Gill et al. (2016), Mützel (2012).</t>
  </si>
  <si>
    <t>polyacrylonitrile</t>
  </si>
  <si>
    <t>carbon fiber</t>
  </si>
  <si>
    <t>market for heat, from steam, in chemical industry</t>
  </si>
  <si>
    <t>megajoule</t>
  </si>
  <si>
    <t>heat, from steam, in chemical industry</t>
  </si>
  <si>
    <t>market for acrylonitrile</t>
  </si>
  <si>
    <t>acrylonitrile</t>
  </si>
  <si>
    <t>market for methyl acrylate</t>
  </si>
  <si>
    <t>methyl acrylate</t>
  </si>
  <si>
    <t>market for acrylic acid</t>
  </si>
  <si>
    <t>acrylic acid</t>
  </si>
  <si>
    <t>market for water, deionised</t>
  </si>
  <si>
    <t>water, deionised</t>
  </si>
  <si>
    <t>Dimethyl sulfoxide production (DMSO)</t>
  </si>
  <si>
    <t>Dimethyl sulfoxide</t>
  </si>
  <si>
    <t>market for dimethyl sulfoxide</t>
  </si>
  <si>
    <t>dimethyl sulfoxide</t>
  </si>
  <si>
    <t>market for ethylene glycol</t>
  </si>
  <si>
    <t>ethylene glycol</t>
  </si>
  <si>
    <t>market for nitrogen, liquid</t>
  </si>
  <si>
    <t>nitrogen, liquid</t>
  </si>
  <si>
    <t>market for steam, in chemical industry</t>
  </si>
  <si>
    <t>steam, in chemical industry</t>
  </si>
  <si>
    <t>carbon fiber production, fiber coagulation, stretching, washing, sizing and drying</t>
  </si>
  <si>
    <t>Category</t>
  </si>
  <si>
    <t>main</t>
  </si>
  <si>
    <t>carbon fiber, dried</t>
  </si>
  <si>
    <t>uncertainty type</t>
  </si>
  <si>
    <t>loc</t>
  </si>
  <si>
    <t>u1</t>
  </si>
  <si>
    <t>u2</t>
  </si>
  <si>
    <t>u3</t>
  </si>
  <si>
    <t>u4</t>
  </si>
  <si>
    <t>u5</t>
  </si>
  <si>
    <t>u6</t>
  </si>
  <si>
    <t>ub</t>
  </si>
  <si>
    <t>scale</t>
  </si>
  <si>
    <t>negative</t>
  </si>
  <si>
    <t>simapro category</t>
  </si>
  <si>
    <t>Material/Chemicals/Organic</t>
  </si>
  <si>
    <t>Water</t>
  </si>
  <si>
    <t>treatment of wastewater, average, wastewater treatment</t>
  </si>
  <si>
    <t>wastewater, average</t>
  </si>
  <si>
    <t>market for potassium permanganate</t>
  </si>
  <si>
    <t>potassium permanganate</t>
  </si>
  <si>
    <t>carbon fiber production, fiber relaxation</t>
  </si>
  <si>
    <t>carbon fiber, relaxed</t>
  </si>
  <si>
    <t>market for silicone product</t>
  </si>
  <si>
    <t>silicone product</t>
  </si>
  <si>
    <t>carbon fiber production, fiber winding and unwinding</t>
  </si>
  <si>
    <t>carbon fiber, unwound</t>
  </si>
  <si>
    <t>carbon fiber production, exhaust gas treatment 1</t>
  </si>
  <si>
    <t>Nitrogen</t>
  </si>
  <si>
    <t>carbon fiber production, exhaust gas treatment 2</t>
  </si>
  <si>
    <t>market for NOx retained, by selective catalytic reduction</t>
  </si>
  <si>
    <t>NOx retained, by selective catalytic reduction</t>
  </si>
  <si>
    <t>carbon fiber production, fiber stabilization, carbonization, electrolysis and washing</t>
  </si>
  <si>
    <t>carbon fiber, washed</t>
  </si>
  <si>
    <t>market for tap water</t>
  </si>
  <si>
    <t>tap water</t>
  </si>
  <si>
    <t>market for ammonium bicarbonate</t>
  </si>
  <si>
    <t>ammonium bicarbonate</t>
  </si>
  <si>
    <t>carbon fiber production, fiber drying and sizing</t>
  </si>
  <si>
    <t>carbon fiber, dried and sized</t>
  </si>
  <si>
    <t>market for epoxy resin, liquid</t>
  </si>
  <si>
    <t>Argon</t>
  </si>
  <si>
    <t xml:space="preserve">A report from the Steel Recycling Institute (Sebastian and Thimons 2017) indicates that every kilogram of steel in a car glider can be subsituted by 0.75 kilogram of AHSS or 0.68 kilogram of aluminium. Looking at the material composition of different car models three years apart, (Hottle et al. 2017) show that steel is in fact increasingly replaced by a combination of both aluminium and AHSS. However, they also show that the use of AHSS is generally preferred to aluminium as it allows greater mass reduction at a lower cost. Hence, we will consider that, for a given mass reduction to achieve, two-third comes from using AHSS, and one third comes from using aluminium. This means that one kilogram of mass reduction is achieved by replacing 3.57 kilogram of steel by: 1.76 kilogram of AHSS and 0.8 kilogram of aluminium.
</t>
  </si>
  <si>
    <t>market for steel, low-alloyed, hot rolled</t>
  </si>
  <si>
    <t>steel, low-alloyed, hot rolled</t>
  </si>
  <si>
    <t>metal working, average for aluminium product manufacturing</t>
  </si>
  <si>
    <t>market for battery, Li-ion, NMC622, rechargeable</t>
  </si>
  <si>
    <t>battery, Li-ion, NMC622, rechargeable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</si>
</sst>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00"/>
  </numFmts>
  <fonts count="6" x14ac:knownFonts="1">
    <font>
      <sz val="11"/>
      <color theme="1"/>
      <name val="Calibri"/>
      <family val="2"/>
      <scheme val="minor"/>
    </font>
    <font>
      <sz val="12"/>
      <color theme="1"/>
      <name val="Calibri"/>
      <family val="2"/>
      <scheme val="minor"/>
    </font>
    <font>
      <b/>
      <sz val="12"/>
      <color theme="1"/>
      <name val="Calibri"/>
      <family val="2"/>
      <scheme val="minor"/>
    </font>
    <font>
      <sz val="12"/>
      <name val="Calibri (Body)"/>
    </font>
    <font>
      <b/>
      <sz val="11"/>
      <color theme="1"/>
      <name val="Calibri"/>
      <family val="2"/>
      <scheme val="minor"/>
    </font>
    <font>
      <b/>
      <sz val="12"/>
      <name val="Calibri (Body)"/>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164" fontId="0" fillId="0" borderId="0" xfId="0" applyNumberFormat="1"/>
    <xf numFmtId="11" fontId="0" fillId="0" borderId="0" xfId="0" applyNumberFormat="1"/>
    <xf numFmtId="165" fontId="0" fillId="0" borderId="0" xfId="0" applyNumberFormat="1"/>
    <xf numFmtId="2" fontId="0" fillId="0" borderId="0" xfId="0" applyNumberFormat="1"/>
    <xf numFmtId="0" fontId="0" fillId="0" borderId="0" xfId="0" applyAlignment="1">
      <alignment horizontal="left"/>
    </xf>
    <xf numFmtId="0" fontId="5" fillId="0" borderId="0" xfId="0" applyFont="1"/>
    <xf numFmtId="2" fontId="2" fillId="0" borderId="0" xfId="0" applyNumberFormat="1" applyFont="1"/>
    <xf numFmtId="166" fontId="0" fillId="0" borderId="0" xfId="0" applyNumberFormat="1"/>
    <xf numFmtId="11"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5223"/>
  <sheetViews>
    <sheetView tabSelected="1" topLeftCell="A2651" workbookViewId="0">
      <selection activeCell="B5226" sqref="B5226"/>
    </sheetView>
  </sheetViews>
  <sheetFormatPr baseColWidth="10" defaultColWidth="8.83203125" defaultRowHeight="15" x14ac:dyDescent="0.2"/>
  <cols>
    <col min="1" max="1" width="79.33203125" customWidth="1"/>
    <col min="7" max="7" width="24.1640625" customWidth="1"/>
    <col min="8" max="8" width="48.83203125" customWidth="1"/>
  </cols>
  <sheetData>
    <row r="1" spans="1:7" ht="16" x14ac:dyDescent="0.2">
      <c r="A1" s="1" t="s">
        <v>0</v>
      </c>
      <c r="B1" s="1" t="s">
        <v>1</v>
      </c>
    </row>
    <row r="2" spans="1:7" x14ac:dyDescent="0.2">
      <c r="A2" t="s">
        <v>2</v>
      </c>
      <c r="B2" t="s">
        <v>3</v>
      </c>
    </row>
    <row r="4" spans="1:7" ht="16" x14ac:dyDescent="0.2">
      <c r="A4" s="1" t="s">
        <v>4</v>
      </c>
      <c r="B4" s="1" t="s">
        <v>538</v>
      </c>
    </row>
    <row r="5" spans="1:7" x14ac:dyDescent="0.2">
      <c r="A5" t="s">
        <v>17</v>
      </c>
      <c r="B5" t="s">
        <v>539</v>
      </c>
    </row>
    <row r="6" spans="1:7" x14ac:dyDescent="0.2">
      <c r="A6" t="s">
        <v>13</v>
      </c>
      <c r="B6" t="s">
        <v>517</v>
      </c>
    </row>
    <row r="7" spans="1:7" x14ac:dyDescent="0.2">
      <c r="A7" t="s">
        <v>5</v>
      </c>
      <c r="B7" t="s">
        <v>26</v>
      </c>
    </row>
    <row r="8" spans="1:7" x14ac:dyDescent="0.2">
      <c r="A8" t="s">
        <v>6</v>
      </c>
      <c r="B8">
        <v>1</v>
      </c>
    </row>
    <row r="9" spans="1:7" ht="16" x14ac:dyDescent="0.2">
      <c r="A9" t="s">
        <v>7</v>
      </c>
      <c r="B9" s="4" t="s">
        <v>540</v>
      </c>
    </row>
    <row r="10" spans="1:7" x14ac:dyDescent="0.2">
      <c r="A10" t="s">
        <v>10</v>
      </c>
      <c r="B10" t="s">
        <v>27</v>
      </c>
    </row>
    <row r="11" spans="1:7" ht="16" x14ac:dyDescent="0.2">
      <c r="A11" s="1" t="s">
        <v>18</v>
      </c>
    </row>
    <row r="12" spans="1:7" x14ac:dyDescent="0.2">
      <c r="A12" t="s">
        <v>19</v>
      </c>
      <c r="B12" t="s">
        <v>20</v>
      </c>
      <c r="C12" t="s">
        <v>21</v>
      </c>
      <c r="D12" t="s">
        <v>5</v>
      </c>
      <c r="E12" t="s">
        <v>10</v>
      </c>
      <c r="F12" t="s">
        <v>8</v>
      </c>
      <c r="G12" t="s">
        <v>7</v>
      </c>
    </row>
    <row r="13" spans="1:7" ht="16" x14ac:dyDescent="0.2">
      <c r="A13" s="4" t="str">
        <f>B4</f>
        <v>polyacrylonitrile production (PAN) by polymerisation</v>
      </c>
      <c r="B13">
        <v>1</v>
      </c>
      <c r="C13" t="s">
        <v>541</v>
      </c>
      <c r="D13" t="s">
        <v>26</v>
      </c>
      <c r="E13" t="s">
        <v>27</v>
      </c>
      <c r="F13" t="s">
        <v>24</v>
      </c>
      <c r="G13" s="4" t="s">
        <v>540</v>
      </c>
    </row>
    <row r="14" spans="1:7" x14ac:dyDescent="0.2">
      <c r="A14" t="s">
        <v>542</v>
      </c>
      <c r="B14" s="5">
        <v>49.716101694915253</v>
      </c>
      <c r="C14" t="s">
        <v>519</v>
      </c>
      <c r="D14" t="s">
        <v>26</v>
      </c>
      <c r="E14" t="s">
        <v>543</v>
      </c>
      <c r="F14" t="s">
        <v>28</v>
      </c>
      <c r="G14" t="s">
        <v>544</v>
      </c>
    </row>
    <row r="15" spans="1:7" x14ac:dyDescent="0.2">
      <c r="A15" t="s">
        <v>545</v>
      </c>
      <c r="B15" s="5">
        <v>1.1200564971751414</v>
      </c>
      <c r="C15" t="s">
        <v>519</v>
      </c>
      <c r="D15" t="s">
        <v>33</v>
      </c>
      <c r="E15" t="s">
        <v>27</v>
      </c>
      <c r="F15" t="s">
        <v>28</v>
      </c>
      <c r="G15" t="s">
        <v>546</v>
      </c>
    </row>
    <row r="16" spans="1:7" x14ac:dyDescent="0.2">
      <c r="A16" t="s">
        <v>56</v>
      </c>
      <c r="B16" s="5">
        <v>2.5</v>
      </c>
      <c r="C16" t="s">
        <v>519</v>
      </c>
      <c r="D16" t="s">
        <v>26</v>
      </c>
      <c r="E16" t="s">
        <v>39</v>
      </c>
      <c r="F16" t="s">
        <v>28</v>
      </c>
      <c r="G16" t="s">
        <v>58</v>
      </c>
    </row>
    <row r="17" spans="1:11" x14ac:dyDescent="0.2">
      <c r="A17" t="s">
        <v>547</v>
      </c>
      <c r="B17" s="6">
        <f>50/1000</f>
        <v>0.05</v>
      </c>
      <c r="C17" t="s">
        <v>519</v>
      </c>
      <c r="D17" t="s">
        <v>37</v>
      </c>
      <c r="E17" t="s">
        <v>27</v>
      </c>
      <c r="F17" t="s">
        <v>28</v>
      </c>
      <c r="G17" t="s">
        <v>548</v>
      </c>
    </row>
    <row r="18" spans="1:11" x14ac:dyDescent="0.2">
      <c r="A18" t="s">
        <v>549</v>
      </c>
      <c r="B18" s="6">
        <f>10/1000</f>
        <v>0.01</v>
      </c>
      <c r="C18" t="s">
        <v>519</v>
      </c>
      <c r="D18" t="s">
        <v>26</v>
      </c>
      <c r="E18" t="s">
        <v>27</v>
      </c>
      <c r="F18" t="s">
        <v>28</v>
      </c>
      <c r="G18" t="s">
        <v>550</v>
      </c>
    </row>
    <row r="19" spans="1:11" x14ac:dyDescent="0.2">
      <c r="A19" t="s">
        <v>551</v>
      </c>
      <c r="B19" s="6">
        <f>764.830508474576/1000</f>
        <v>0.76483050847457601</v>
      </c>
      <c r="C19" t="s">
        <v>519</v>
      </c>
      <c r="D19" t="s">
        <v>35</v>
      </c>
      <c r="E19" t="s">
        <v>27</v>
      </c>
      <c r="F19" t="s">
        <v>28</v>
      </c>
      <c r="G19" t="s">
        <v>552</v>
      </c>
    </row>
    <row r="21" spans="1:11" ht="16" x14ac:dyDescent="0.2">
      <c r="A21" s="1" t="s">
        <v>4</v>
      </c>
      <c r="B21" s="1" t="s">
        <v>553</v>
      </c>
    </row>
    <row r="22" spans="1:11" x14ac:dyDescent="0.2">
      <c r="A22" t="s">
        <v>17</v>
      </c>
      <c r="B22" t="s">
        <v>539</v>
      </c>
    </row>
    <row r="23" spans="1:11" x14ac:dyDescent="0.2">
      <c r="A23" t="s">
        <v>13</v>
      </c>
      <c r="B23" t="s">
        <v>517</v>
      </c>
    </row>
    <row r="24" spans="1:11" x14ac:dyDescent="0.2">
      <c r="A24" t="s">
        <v>5</v>
      </c>
      <c r="B24" t="s">
        <v>26</v>
      </c>
    </row>
    <row r="25" spans="1:11" x14ac:dyDescent="0.2">
      <c r="A25" t="s">
        <v>6</v>
      </c>
      <c r="B25">
        <v>1</v>
      </c>
    </row>
    <row r="26" spans="1:11" ht="16" x14ac:dyDescent="0.2">
      <c r="A26" t="s">
        <v>7</v>
      </c>
      <c r="B26" s="4" t="s">
        <v>554</v>
      </c>
    </row>
    <row r="27" spans="1:11" x14ac:dyDescent="0.2">
      <c r="A27" t="s">
        <v>10</v>
      </c>
      <c r="B27" t="s">
        <v>27</v>
      </c>
    </row>
    <row r="28" spans="1:11" ht="16" x14ac:dyDescent="0.2">
      <c r="A28" s="1" t="s">
        <v>18</v>
      </c>
    </row>
    <row r="29" spans="1:11" x14ac:dyDescent="0.2">
      <c r="A29" t="s">
        <v>19</v>
      </c>
      <c r="B29" t="s">
        <v>20</v>
      </c>
      <c r="C29" t="s">
        <v>21</v>
      </c>
      <c r="D29" t="s">
        <v>5</v>
      </c>
      <c r="E29" t="s">
        <v>10</v>
      </c>
      <c r="F29" t="s">
        <v>8</v>
      </c>
      <c r="G29" t="s">
        <v>7</v>
      </c>
    </row>
    <row r="30" spans="1:11" ht="16" x14ac:dyDescent="0.2">
      <c r="A30" s="4" t="s">
        <v>553</v>
      </c>
      <c r="B30">
        <v>1</v>
      </c>
      <c r="C30" t="s">
        <v>541</v>
      </c>
      <c r="D30" t="s">
        <v>26</v>
      </c>
      <c r="E30" t="s">
        <v>27</v>
      </c>
      <c r="F30" t="s">
        <v>24</v>
      </c>
      <c r="G30" s="4" t="s">
        <v>554</v>
      </c>
    </row>
    <row r="31" spans="1:11" x14ac:dyDescent="0.2">
      <c r="A31" t="s">
        <v>511</v>
      </c>
      <c r="B31" s="7">
        <v>2.5799256505576211E-3</v>
      </c>
      <c r="C31" t="s">
        <v>519</v>
      </c>
      <c r="D31" t="s">
        <v>26</v>
      </c>
      <c r="E31" t="s">
        <v>512</v>
      </c>
      <c r="F31" t="s">
        <v>28</v>
      </c>
      <c r="G31" t="s">
        <v>513</v>
      </c>
      <c r="K31" s="6"/>
    </row>
    <row r="32" spans="1:11" x14ac:dyDescent="0.2">
      <c r="A32" t="s">
        <v>555</v>
      </c>
      <c r="B32" s="7">
        <v>3.1548946716232956E-2</v>
      </c>
      <c r="C32" t="s">
        <v>519</v>
      </c>
      <c r="D32" t="s">
        <v>33</v>
      </c>
      <c r="E32" t="s">
        <v>27</v>
      </c>
      <c r="F32" t="s">
        <v>28</v>
      </c>
      <c r="G32" t="s">
        <v>556</v>
      </c>
      <c r="K32" s="6"/>
    </row>
    <row r="33" spans="1:20" x14ac:dyDescent="0.2">
      <c r="A33" t="s">
        <v>56</v>
      </c>
      <c r="B33" s="7">
        <v>0.11285006195786863</v>
      </c>
      <c r="C33" t="s">
        <v>519</v>
      </c>
      <c r="D33" t="s">
        <v>26</v>
      </c>
      <c r="E33" t="s">
        <v>39</v>
      </c>
      <c r="F33" t="s">
        <v>28</v>
      </c>
      <c r="G33" t="s">
        <v>58</v>
      </c>
      <c r="K33" s="6"/>
    </row>
    <row r="34" spans="1:20" x14ac:dyDescent="0.2">
      <c r="A34" t="s">
        <v>557</v>
      </c>
      <c r="B34" s="6">
        <f>0.00242255266418835/1000</f>
        <v>2.4225526641883498E-6</v>
      </c>
      <c r="C34" t="s">
        <v>519</v>
      </c>
      <c r="D34" t="s">
        <v>26</v>
      </c>
      <c r="E34" t="s">
        <v>27</v>
      </c>
      <c r="F34" t="s">
        <v>28</v>
      </c>
      <c r="G34" t="s">
        <v>558</v>
      </c>
      <c r="K34" s="6"/>
    </row>
    <row r="35" spans="1:20" x14ac:dyDescent="0.2">
      <c r="A35" t="s">
        <v>559</v>
      </c>
      <c r="B35" s="7">
        <v>5.3965303593556382E-3</v>
      </c>
      <c r="C35" t="s">
        <v>519</v>
      </c>
      <c r="D35" t="s">
        <v>26</v>
      </c>
      <c r="E35" t="s">
        <v>27</v>
      </c>
      <c r="F35" t="s">
        <v>28</v>
      </c>
      <c r="G35" t="s">
        <v>560</v>
      </c>
      <c r="K35" s="6"/>
    </row>
    <row r="36" spans="1:20" x14ac:dyDescent="0.2">
      <c r="A36" t="s">
        <v>561</v>
      </c>
      <c r="B36" s="7">
        <v>1.5947955390334572</v>
      </c>
      <c r="C36" t="s">
        <v>519</v>
      </c>
      <c r="D36" t="s">
        <v>26</v>
      </c>
      <c r="E36" t="s">
        <v>27</v>
      </c>
      <c r="F36" t="s">
        <v>28</v>
      </c>
      <c r="G36" t="s">
        <v>562</v>
      </c>
      <c r="K36" s="6"/>
    </row>
    <row r="38" spans="1:20" ht="16" x14ac:dyDescent="0.2">
      <c r="A38" s="1" t="s">
        <v>4</v>
      </c>
      <c r="B38" s="1" t="s">
        <v>563</v>
      </c>
      <c r="K38" s="8"/>
      <c r="L38" s="8"/>
      <c r="M38" s="8"/>
      <c r="N38" s="8"/>
      <c r="O38" s="8"/>
      <c r="P38" s="8"/>
    </row>
    <row r="39" spans="1:20" x14ac:dyDescent="0.2">
      <c r="A39" t="s">
        <v>17</v>
      </c>
      <c r="B39" t="s">
        <v>539</v>
      </c>
      <c r="K39" s="8"/>
      <c r="L39" s="8"/>
      <c r="M39" s="8"/>
      <c r="N39" s="8"/>
      <c r="O39" s="8"/>
      <c r="P39" s="8"/>
    </row>
    <row r="40" spans="1:20" x14ac:dyDescent="0.2">
      <c r="A40" t="s">
        <v>13</v>
      </c>
      <c r="B40" t="s">
        <v>517</v>
      </c>
      <c r="K40" s="8"/>
      <c r="L40" s="8"/>
      <c r="M40" s="8"/>
      <c r="N40" s="8"/>
      <c r="O40" s="8"/>
      <c r="P40" s="8"/>
    </row>
    <row r="41" spans="1:20" x14ac:dyDescent="0.2">
      <c r="A41" t="s">
        <v>5</v>
      </c>
      <c r="B41" t="s">
        <v>26</v>
      </c>
      <c r="K41" s="8"/>
      <c r="L41" s="8"/>
      <c r="M41" s="8"/>
      <c r="N41" s="8"/>
      <c r="O41" s="8"/>
      <c r="P41" s="8"/>
    </row>
    <row r="42" spans="1:20" x14ac:dyDescent="0.2">
      <c r="A42" t="s">
        <v>564</v>
      </c>
      <c r="B42" s="9" t="s">
        <v>565</v>
      </c>
    </row>
    <row r="43" spans="1:20" x14ac:dyDescent="0.2">
      <c r="A43" t="s">
        <v>6</v>
      </c>
      <c r="B43">
        <v>1</v>
      </c>
      <c r="K43" s="8"/>
      <c r="L43" s="8"/>
      <c r="M43" s="8"/>
      <c r="N43" s="8"/>
      <c r="O43" s="8"/>
      <c r="P43" s="8"/>
    </row>
    <row r="44" spans="1:20" x14ac:dyDescent="0.2">
      <c r="A44" t="s">
        <v>7</v>
      </c>
      <c r="B44" t="s">
        <v>566</v>
      </c>
      <c r="K44" s="8"/>
      <c r="L44" s="8"/>
      <c r="M44" s="8"/>
      <c r="N44" s="8"/>
      <c r="O44" s="8"/>
      <c r="P44" s="8"/>
    </row>
    <row r="45" spans="1:20" x14ac:dyDescent="0.2">
      <c r="A45" t="s">
        <v>10</v>
      </c>
      <c r="B45" t="s">
        <v>27</v>
      </c>
      <c r="K45" s="8"/>
      <c r="L45" s="8"/>
      <c r="M45" s="8"/>
      <c r="N45" s="8"/>
      <c r="O45" s="8"/>
      <c r="P45" s="8"/>
    </row>
    <row r="46" spans="1:20" ht="16" x14ac:dyDescent="0.2">
      <c r="A46" s="1" t="s">
        <v>18</v>
      </c>
      <c r="K46" s="8"/>
      <c r="L46" s="8"/>
      <c r="M46" s="8"/>
      <c r="N46" s="8"/>
      <c r="O46" s="8"/>
      <c r="P46" s="8"/>
    </row>
    <row r="47" spans="1:20" ht="16" x14ac:dyDescent="0.2">
      <c r="A47" s="1" t="s">
        <v>19</v>
      </c>
      <c r="B47" s="1" t="s">
        <v>20</v>
      </c>
      <c r="C47" s="1" t="s">
        <v>5</v>
      </c>
      <c r="D47" s="1" t="s">
        <v>10</v>
      </c>
      <c r="E47" s="1" t="s">
        <v>22</v>
      </c>
      <c r="F47" s="1" t="s">
        <v>8</v>
      </c>
      <c r="G47" s="1" t="s">
        <v>7</v>
      </c>
      <c r="H47" s="10" t="s">
        <v>17</v>
      </c>
      <c r="I47" s="10" t="s">
        <v>567</v>
      </c>
      <c r="J47" s="1" t="s">
        <v>568</v>
      </c>
      <c r="K47" s="11" t="s">
        <v>569</v>
      </c>
      <c r="L47" s="11" t="s">
        <v>570</v>
      </c>
      <c r="M47" s="11" t="s">
        <v>571</v>
      </c>
      <c r="N47" s="11" t="s">
        <v>572</v>
      </c>
      <c r="O47" s="11" t="s">
        <v>573</v>
      </c>
      <c r="P47" s="11" t="s">
        <v>574</v>
      </c>
      <c r="Q47" s="1" t="s">
        <v>575</v>
      </c>
      <c r="R47" s="1" t="s">
        <v>576</v>
      </c>
      <c r="S47" s="10" t="s">
        <v>577</v>
      </c>
      <c r="T47" s="1" t="s">
        <v>578</v>
      </c>
    </row>
    <row r="48" spans="1:20" ht="16" x14ac:dyDescent="0.2">
      <c r="A48" t="str">
        <f>B38</f>
        <v>carbon fiber production, fiber coagulation, stretching, washing, sizing and drying</v>
      </c>
      <c r="B48">
        <v>1</v>
      </c>
      <c r="C48" t="s">
        <v>26</v>
      </c>
      <c r="D48" t="s">
        <v>27</v>
      </c>
      <c r="E48" s="2"/>
      <c r="F48" t="s">
        <v>24</v>
      </c>
      <c r="G48" t="s">
        <v>566</v>
      </c>
      <c r="H48" s="2"/>
      <c r="I48" s="2"/>
      <c r="J48" s="2"/>
      <c r="K48" s="8"/>
      <c r="L48" s="8"/>
      <c r="M48" s="8"/>
      <c r="N48" s="8"/>
      <c r="O48" s="8"/>
      <c r="P48" s="8"/>
      <c r="T48" t="s">
        <v>579</v>
      </c>
    </row>
    <row r="49" spans="1:19" ht="16" x14ac:dyDescent="0.2">
      <c r="A49" t="s">
        <v>580</v>
      </c>
      <c r="B49">
        <f>0.623418865196964/1000</f>
        <v>6.2341886519696403E-4</v>
      </c>
      <c r="D49" t="s">
        <v>512</v>
      </c>
      <c r="E49" s="2" t="s">
        <v>30</v>
      </c>
      <c r="F49" t="s">
        <v>31</v>
      </c>
      <c r="H49" s="2"/>
      <c r="I49" s="2">
        <v>2</v>
      </c>
      <c r="J49">
        <f t="shared" ref="J49:J52" si="0">LN(B49)</f>
        <v>-7.3802919293036036</v>
      </c>
      <c r="K49" s="8">
        <v>1.5</v>
      </c>
      <c r="L49" s="8">
        <v>1.2</v>
      </c>
      <c r="M49" s="8">
        <v>1.5</v>
      </c>
      <c r="N49" s="8">
        <v>1.1000000000000001</v>
      </c>
      <c r="O49" s="8">
        <v>2</v>
      </c>
      <c r="P49" s="8">
        <v>1.2</v>
      </c>
      <c r="Q49" s="8">
        <v>1.05</v>
      </c>
      <c r="R49">
        <f t="shared" ref="R49:R52" si="1">LN(SQRT(EXP(
SQRT(
+POWER(LN(K49),2)
+POWER(LN(L49),2)
+POWER(LN(M49),2)
+POWER(LN(N49),2)
+POWER(LN(O49),2)
+POWER(LN(P49),2)
+POWER(LN(Q49),2)
)
)))</f>
        <v>0.47095746419981693</v>
      </c>
    </row>
    <row r="50" spans="1:19" ht="16" x14ac:dyDescent="0.2">
      <c r="A50" t="s">
        <v>511</v>
      </c>
      <c r="B50" s="6">
        <v>5.2692446693169504E-4</v>
      </c>
      <c r="C50" t="s">
        <v>26</v>
      </c>
      <c r="D50" t="s">
        <v>512</v>
      </c>
      <c r="E50" s="2"/>
      <c r="F50" t="s">
        <v>28</v>
      </c>
      <c r="G50" t="s">
        <v>513</v>
      </c>
      <c r="H50" s="2"/>
      <c r="I50" s="2">
        <v>2</v>
      </c>
      <c r="J50">
        <f t="shared" si="0"/>
        <v>-7.5484533462004597</v>
      </c>
      <c r="K50" s="8">
        <v>1.5</v>
      </c>
      <c r="L50" s="8">
        <v>1.2</v>
      </c>
      <c r="M50" s="8">
        <v>1.5</v>
      </c>
      <c r="N50" s="8">
        <v>1.1000000000000001</v>
      </c>
      <c r="O50" s="8">
        <v>2</v>
      </c>
      <c r="P50" s="8">
        <v>1.2</v>
      </c>
      <c r="Q50">
        <v>1.05</v>
      </c>
      <c r="R50">
        <f t="shared" si="1"/>
        <v>0.47095746419981693</v>
      </c>
    </row>
    <row r="51" spans="1:19" ht="16" x14ac:dyDescent="0.2">
      <c r="A51" t="s">
        <v>56</v>
      </c>
      <c r="B51" s="12">
        <v>6.3642934586194438E-2</v>
      </c>
      <c r="C51" t="s">
        <v>26</v>
      </c>
      <c r="D51" t="s">
        <v>39</v>
      </c>
      <c r="E51" s="2"/>
      <c r="F51" t="s">
        <v>28</v>
      </c>
      <c r="G51" t="s">
        <v>58</v>
      </c>
      <c r="H51" s="2"/>
      <c r="I51" s="2">
        <v>2</v>
      </c>
      <c r="J51">
        <f t="shared" si="0"/>
        <v>-2.7544669642847652</v>
      </c>
      <c r="K51" s="8">
        <v>1.5</v>
      </c>
      <c r="L51" s="8">
        <v>1.2</v>
      </c>
      <c r="M51" s="8">
        <v>1.5</v>
      </c>
      <c r="N51" s="8">
        <v>1.1000000000000001</v>
      </c>
      <c r="O51" s="8">
        <v>2</v>
      </c>
      <c r="P51" s="8">
        <v>1.2</v>
      </c>
      <c r="Q51">
        <v>1.05</v>
      </c>
      <c r="R51">
        <f t="shared" si="1"/>
        <v>0.47095746419981693</v>
      </c>
    </row>
    <row r="52" spans="1:19" ht="16" x14ac:dyDescent="0.2">
      <c r="A52" t="s">
        <v>542</v>
      </c>
      <c r="B52" s="7">
        <f>0.744127213588724*2.778</f>
        <v>2.0671853993494755</v>
      </c>
      <c r="C52" t="s">
        <v>26</v>
      </c>
      <c r="D52" t="s">
        <v>543</v>
      </c>
      <c r="E52" s="2"/>
      <c r="F52" t="s">
        <v>28</v>
      </c>
      <c r="G52" t="s">
        <v>544</v>
      </c>
      <c r="H52" s="2"/>
      <c r="I52" s="2">
        <v>2</v>
      </c>
      <c r="J52">
        <f t="shared" si="0"/>
        <v>0.7261879715730154</v>
      </c>
      <c r="K52" s="8">
        <v>1.5</v>
      </c>
      <c r="L52" s="8">
        <v>1.2</v>
      </c>
      <c r="M52" s="8">
        <v>1.5</v>
      </c>
      <c r="N52" s="8">
        <v>1.1000000000000001</v>
      </c>
      <c r="O52" s="8">
        <v>2</v>
      </c>
      <c r="P52" s="8">
        <v>1.2</v>
      </c>
      <c r="Q52">
        <v>1.05</v>
      </c>
      <c r="R52">
        <f t="shared" si="1"/>
        <v>0.47095746419981693</v>
      </c>
    </row>
    <row r="53" spans="1:19" ht="16" x14ac:dyDescent="0.2">
      <c r="A53" s="2" t="s">
        <v>581</v>
      </c>
      <c r="B53">
        <v>-1.1384170581857599E-3</v>
      </c>
      <c r="C53" t="s">
        <v>505</v>
      </c>
      <c r="D53" t="s">
        <v>512</v>
      </c>
      <c r="E53" s="2"/>
      <c r="F53" t="s">
        <v>28</v>
      </c>
      <c r="G53" t="s">
        <v>582</v>
      </c>
      <c r="I53" s="2">
        <v>2</v>
      </c>
      <c r="J53">
        <f>LN(B53*-1)</f>
        <v>-6.7781165269493853</v>
      </c>
      <c r="K53" s="8">
        <v>1.5</v>
      </c>
      <c r="L53" s="8">
        <v>1.2</v>
      </c>
      <c r="M53" s="8">
        <v>1.5</v>
      </c>
      <c r="N53" s="8">
        <v>1.1000000000000001</v>
      </c>
      <c r="O53" s="8">
        <v>2</v>
      </c>
      <c r="P53" s="8">
        <v>1.2</v>
      </c>
      <c r="Q53">
        <v>1.05</v>
      </c>
      <c r="R53">
        <f>LN(SQRT(EXP(
SQRT(
+POWER(LN(K53),2)
+POWER(LN(L53),2)
+POWER(LN(M53),2)
+POWER(LN(N53),2)
+POWER(LN(O53),2)
+POWER(LN(P53),2)
+POWER(LN(Q53),2)
)
)))</f>
        <v>0.47095746419981693</v>
      </c>
      <c r="S53" s="2" t="b">
        <v>1</v>
      </c>
    </row>
    <row r="54" spans="1:19" ht="16" x14ac:dyDescent="0.2">
      <c r="A54" t="s">
        <v>511</v>
      </c>
      <c r="B54" s="6">
        <v>2.5363209251897366E-4</v>
      </c>
      <c r="C54" t="s">
        <v>26</v>
      </c>
      <c r="D54" t="s">
        <v>512</v>
      </c>
      <c r="E54" s="2"/>
      <c r="F54" t="s">
        <v>28</v>
      </c>
      <c r="G54" t="s">
        <v>513</v>
      </c>
      <c r="I54" s="2">
        <v>2</v>
      </c>
      <c r="J54">
        <f>LN(B54)</f>
        <v>-8.2796257956199479</v>
      </c>
      <c r="K54" s="8">
        <v>1.5</v>
      </c>
      <c r="L54" s="8">
        <v>1.2</v>
      </c>
      <c r="M54" s="8">
        <v>1.5</v>
      </c>
      <c r="N54" s="8">
        <v>1.1000000000000001</v>
      </c>
      <c r="O54" s="8">
        <v>2</v>
      </c>
      <c r="P54" s="8">
        <v>1.2</v>
      </c>
      <c r="Q54">
        <v>1.05</v>
      </c>
      <c r="R54">
        <f t="shared" ref="R54:R71" si="2">LN(SQRT(EXP(
SQRT(
+POWER(LN(K54),2)
+POWER(LN(L54),2)
+POWER(LN(M54),2)
+POWER(LN(N54),2)
+POWER(LN(O54),2)
+POWER(LN(P54),2)
+POWER(LN(Q54),2)
)
)))</f>
        <v>0.47095746419981693</v>
      </c>
    </row>
    <row r="55" spans="1:19" ht="16" x14ac:dyDescent="0.2">
      <c r="A55" t="s">
        <v>56</v>
      </c>
      <c r="B55" s="12">
        <v>5.8149620527647265E-2</v>
      </c>
      <c r="C55" t="s">
        <v>26</v>
      </c>
      <c r="D55" t="s">
        <v>39</v>
      </c>
      <c r="E55" s="2"/>
      <c r="F55" t="s">
        <v>28</v>
      </c>
      <c r="G55" t="s">
        <v>58</v>
      </c>
      <c r="I55" s="2">
        <v>2</v>
      </c>
      <c r="J55">
        <f>LN(B55)</f>
        <v>-2.8447359257885885</v>
      </c>
      <c r="K55" s="8">
        <v>1.5</v>
      </c>
      <c r="L55" s="8">
        <v>1.2</v>
      </c>
      <c r="M55" s="8">
        <v>1.5</v>
      </c>
      <c r="N55" s="8">
        <v>1.1000000000000001</v>
      </c>
      <c r="O55" s="8">
        <v>2</v>
      </c>
      <c r="P55" s="8">
        <v>1.2</v>
      </c>
      <c r="Q55">
        <v>1.05</v>
      </c>
      <c r="R55">
        <f t="shared" si="2"/>
        <v>0.47095746419981693</v>
      </c>
    </row>
    <row r="56" spans="1:19" ht="16" x14ac:dyDescent="0.2">
      <c r="A56" t="s">
        <v>583</v>
      </c>
      <c r="B56" s="6">
        <v>4.0585471629924104E-2</v>
      </c>
      <c r="C56" t="s">
        <v>33</v>
      </c>
      <c r="D56" t="s">
        <v>27</v>
      </c>
      <c r="E56" s="2"/>
      <c r="F56" t="s">
        <v>28</v>
      </c>
      <c r="G56" t="s">
        <v>584</v>
      </c>
      <c r="I56" s="2">
        <v>2</v>
      </c>
      <c r="J56">
        <f>LN(B56)</f>
        <v>-3.2043451180425286</v>
      </c>
      <c r="K56" s="8">
        <v>1.5</v>
      </c>
      <c r="L56" s="8">
        <v>1.2</v>
      </c>
      <c r="M56" s="8">
        <v>1.5</v>
      </c>
      <c r="N56" s="8">
        <v>1.1000000000000001</v>
      </c>
      <c r="O56" s="8">
        <v>2</v>
      </c>
      <c r="P56" s="8">
        <v>1.2</v>
      </c>
      <c r="Q56">
        <v>1.05</v>
      </c>
      <c r="R56">
        <f t="shared" si="2"/>
        <v>0.47095746419981693</v>
      </c>
    </row>
    <row r="57" spans="1:19" ht="16" x14ac:dyDescent="0.2">
      <c r="A57" t="s">
        <v>551</v>
      </c>
      <c r="B57" s="6">
        <v>0.23697144922298516</v>
      </c>
      <c r="C57" t="s">
        <v>35</v>
      </c>
      <c r="D57" t="s">
        <v>27</v>
      </c>
      <c r="E57" s="2"/>
      <c r="F57" t="s">
        <v>28</v>
      </c>
      <c r="G57" t="s">
        <v>552</v>
      </c>
      <c r="I57" s="2">
        <v>2</v>
      </c>
      <c r="J57">
        <f>LN(B57)</f>
        <v>-1.4398156125173522</v>
      </c>
      <c r="K57" s="8">
        <v>1.5</v>
      </c>
      <c r="L57" s="8">
        <v>1.2</v>
      </c>
      <c r="M57" s="8">
        <v>1.5</v>
      </c>
      <c r="N57" s="8">
        <v>1.1000000000000001</v>
      </c>
      <c r="O57" s="8">
        <v>2</v>
      </c>
      <c r="P57" s="8">
        <v>1.2</v>
      </c>
      <c r="Q57">
        <v>1.05</v>
      </c>
      <c r="R57">
        <f t="shared" si="2"/>
        <v>0.47095746419981693</v>
      </c>
    </row>
    <row r="58" spans="1:19" ht="16" x14ac:dyDescent="0.2">
      <c r="A58" t="s">
        <v>511</v>
      </c>
      <c r="B58" s="6">
        <v>1.1413082761113117E-2</v>
      </c>
      <c r="C58" t="s">
        <v>26</v>
      </c>
      <c r="D58" t="s">
        <v>512</v>
      </c>
      <c r="E58" s="2"/>
      <c r="F58" t="s">
        <v>28</v>
      </c>
      <c r="G58" t="s">
        <v>513</v>
      </c>
      <c r="I58" s="2">
        <v>2</v>
      </c>
      <c r="J58">
        <f t="shared" ref="J58:J71" si="3">LN(B58)</f>
        <v>-4.4729949709594301</v>
      </c>
      <c r="K58" s="8">
        <v>1.5</v>
      </c>
      <c r="L58" s="8">
        <v>1.2</v>
      </c>
      <c r="M58" s="8">
        <v>1.5</v>
      </c>
      <c r="N58" s="8">
        <v>1.1000000000000001</v>
      </c>
      <c r="O58" s="8">
        <v>2</v>
      </c>
      <c r="P58" s="8">
        <v>1.2</v>
      </c>
      <c r="Q58">
        <v>1.05</v>
      </c>
      <c r="R58">
        <f t="shared" si="2"/>
        <v>0.47095746419981693</v>
      </c>
    </row>
    <row r="59" spans="1:19" ht="16" x14ac:dyDescent="0.2">
      <c r="A59" t="s">
        <v>56</v>
      </c>
      <c r="B59" s="12">
        <v>0.66389591615468013</v>
      </c>
      <c r="C59" t="s">
        <v>26</v>
      </c>
      <c r="D59" t="s">
        <v>39</v>
      </c>
      <c r="E59" s="2"/>
      <c r="F59" t="s">
        <v>28</v>
      </c>
      <c r="G59" t="s">
        <v>58</v>
      </c>
      <c r="I59" s="2">
        <v>2</v>
      </c>
      <c r="J59">
        <f t="shared" si="3"/>
        <v>-0.40962989457180027</v>
      </c>
      <c r="K59" s="8">
        <v>1.5</v>
      </c>
      <c r="L59" s="8">
        <v>1.2</v>
      </c>
      <c r="M59" s="8">
        <v>1.5</v>
      </c>
      <c r="N59" s="8">
        <v>1.1000000000000001</v>
      </c>
      <c r="O59" s="8">
        <v>2</v>
      </c>
      <c r="P59" s="8">
        <v>1.2</v>
      </c>
      <c r="Q59">
        <v>1.05</v>
      </c>
      <c r="R59">
        <f t="shared" si="2"/>
        <v>0.47095746419981693</v>
      </c>
    </row>
    <row r="60" spans="1:19" ht="16" x14ac:dyDescent="0.2">
      <c r="A60" t="s">
        <v>542</v>
      </c>
      <c r="B60" s="7">
        <v>2.92156848572461</v>
      </c>
      <c r="C60" t="s">
        <v>26</v>
      </c>
      <c r="D60" t="s">
        <v>543</v>
      </c>
      <c r="E60" s="2"/>
      <c r="F60" t="s">
        <v>28</v>
      </c>
      <c r="G60" t="s">
        <v>544</v>
      </c>
      <c r="I60" s="2">
        <v>2</v>
      </c>
      <c r="J60">
        <f t="shared" si="3"/>
        <v>1.0721206247107637</v>
      </c>
      <c r="K60" s="8">
        <v>1.5</v>
      </c>
      <c r="L60" s="8">
        <v>1.2</v>
      </c>
      <c r="M60" s="8">
        <v>1.5</v>
      </c>
      <c r="N60" s="8">
        <v>1.1000000000000001</v>
      </c>
      <c r="O60" s="8">
        <v>2</v>
      </c>
      <c r="P60" s="8">
        <v>1.2</v>
      </c>
      <c r="Q60">
        <v>1.05</v>
      </c>
      <c r="R60">
        <f t="shared" si="2"/>
        <v>0.47095746419981693</v>
      </c>
    </row>
    <row r="61" spans="1:19" ht="16" x14ac:dyDescent="0.2">
      <c r="A61" t="s">
        <v>551</v>
      </c>
      <c r="B61" s="6">
        <v>6.3245392121431148E-4</v>
      </c>
      <c r="C61" t="s">
        <v>35</v>
      </c>
      <c r="D61" t="s">
        <v>27</v>
      </c>
      <c r="E61" s="2"/>
      <c r="F61" t="s">
        <v>28</v>
      </c>
      <c r="G61" t="s">
        <v>552</v>
      </c>
      <c r="I61" s="2">
        <v>2</v>
      </c>
      <c r="J61">
        <f t="shared" si="3"/>
        <v>-7.365903191851503</v>
      </c>
      <c r="K61" s="8">
        <v>1.5</v>
      </c>
      <c r="L61" s="8">
        <v>1.2</v>
      </c>
      <c r="M61" s="8">
        <v>1.5</v>
      </c>
      <c r="N61" s="8">
        <v>1.1000000000000001</v>
      </c>
      <c r="O61" s="8">
        <v>2</v>
      </c>
      <c r="P61" s="8">
        <v>1.2</v>
      </c>
      <c r="Q61">
        <v>1.05</v>
      </c>
      <c r="R61">
        <f t="shared" si="2"/>
        <v>0.47095746419981693</v>
      </c>
    </row>
    <row r="62" spans="1:19" ht="16" x14ac:dyDescent="0.2">
      <c r="A62" t="s">
        <v>56</v>
      </c>
      <c r="B62" s="12">
        <v>5.1391398626671476E-2</v>
      </c>
      <c r="C62" t="s">
        <v>26</v>
      </c>
      <c r="D62" t="s">
        <v>39</v>
      </c>
      <c r="E62" s="2"/>
      <c r="F62" t="s">
        <v>28</v>
      </c>
      <c r="G62" t="s">
        <v>58</v>
      </c>
      <c r="I62" s="2">
        <v>2</v>
      </c>
      <c r="J62">
        <f t="shared" si="3"/>
        <v>-2.9682844624177855</v>
      </c>
      <c r="K62" s="8">
        <v>1.5</v>
      </c>
      <c r="L62" s="8">
        <v>1.2</v>
      </c>
      <c r="M62" s="8">
        <v>1.5</v>
      </c>
      <c r="N62" s="8">
        <v>1.1000000000000001</v>
      </c>
      <c r="O62" s="8">
        <v>2</v>
      </c>
      <c r="P62" s="8">
        <v>1.2</v>
      </c>
      <c r="Q62">
        <v>1.05</v>
      </c>
      <c r="R62">
        <f t="shared" si="2"/>
        <v>0.47095746419981693</v>
      </c>
    </row>
    <row r="63" spans="1:19" ht="16" x14ac:dyDescent="0.2">
      <c r="A63" t="s">
        <v>557</v>
      </c>
      <c r="B63" s="6">
        <v>2.9450668594145337E-4</v>
      </c>
      <c r="C63" t="s">
        <v>26</v>
      </c>
      <c r="D63" t="s">
        <v>27</v>
      </c>
      <c r="E63" s="2"/>
      <c r="F63" t="s">
        <v>28</v>
      </c>
      <c r="G63" t="s">
        <v>558</v>
      </c>
      <c r="I63" s="2">
        <v>2</v>
      </c>
      <c r="J63">
        <f t="shared" si="3"/>
        <v>-8.1302088524428875</v>
      </c>
      <c r="K63" s="8">
        <v>1.5</v>
      </c>
      <c r="L63" s="8">
        <v>1.2</v>
      </c>
      <c r="M63" s="8">
        <v>1.5</v>
      </c>
      <c r="N63" s="8">
        <v>1.1000000000000001</v>
      </c>
      <c r="O63" s="8">
        <v>2</v>
      </c>
      <c r="P63" s="8">
        <v>1.2</v>
      </c>
      <c r="Q63">
        <v>1.05</v>
      </c>
      <c r="R63">
        <f t="shared" si="2"/>
        <v>0.47095746419981693</v>
      </c>
    </row>
    <row r="64" spans="1:19" ht="16" x14ac:dyDescent="0.2">
      <c r="A64" t="s">
        <v>511</v>
      </c>
      <c r="B64" s="6">
        <v>6.2522587640043365E-3</v>
      </c>
      <c r="C64" t="s">
        <v>26</v>
      </c>
      <c r="D64" t="s">
        <v>512</v>
      </c>
      <c r="E64" s="2"/>
      <c r="F64" t="s">
        <v>28</v>
      </c>
      <c r="G64" t="s">
        <v>513</v>
      </c>
      <c r="I64" s="2">
        <v>2</v>
      </c>
      <c r="J64">
        <f t="shared" si="3"/>
        <v>-5.0748124782831923</v>
      </c>
      <c r="K64" s="8">
        <v>1.5</v>
      </c>
      <c r="L64" s="8">
        <v>1.2</v>
      </c>
      <c r="M64" s="8">
        <v>1.5</v>
      </c>
      <c r="N64" s="8">
        <v>1.1000000000000001</v>
      </c>
      <c r="O64" s="8">
        <v>2</v>
      </c>
      <c r="P64" s="8">
        <v>1.2</v>
      </c>
      <c r="Q64">
        <v>1.05</v>
      </c>
      <c r="R64">
        <f t="shared" si="2"/>
        <v>0.47095746419981693</v>
      </c>
    </row>
    <row r="65" spans="1:18" ht="16" x14ac:dyDescent="0.2">
      <c r="A65" t="s">
        <v>555</v>
      </c>
      <c r="B65">
        <v>1.0842067220816766E-2</v>
      </c>
      <c r="C65" t="s">
        <v>33</v>
      </c>
      <c r="D65" t="s">
        <v>27</v>
      </c>
      <c r="E65" s="2"/>
      <c r="F65" t="s">
        <v>28</v>
      </c>
      <c r="G65" t="s">
        <v>556</v>
      </c>
      <c r="I65" s="2">
        <v>2</v>
      </c>
      <c r="J65">
        <f t="shared" si="3"/>
        <v>-4.5243215981247706</v>
      </c>
      <c r="K65" s="8">
        <v>1.5</v>
      </c>
      <c r="L65" s="8">
        <v>1.2</v>
      </c>
      <c r="M65" s="8">
        <v>1.5</v>
      </c>
      <c r="N65" s="8">
        <v>1.1000000000000001</v>
      </c>
      <c r="O65" s="8">
        <v>2</v>
      </c>
      <c r="P65" s="8">
        <v>1.2</v>
      </c>
      <c r="Q65">
        <v>1.05</v>
      </c>
      <c r="R65">
        <f t="shared" si="2"/>
        <v>0.47095746419981693</v>
      </c>
    </row>
    <row r="66" spans="1:18" ht="16" x14ac:dyDescent="0.2">
      <c r="A66" t="s">
        <v>56</v>
      </c>
      <c r="B66" s="7">
        <v>0.19222985182508132</v>
      </c>
      <c r="C66" t="s">
        <v>26</v>
      </c>
      <c r="D66" t="s">
        <v>39</v>
      </c>
      <c r="E66" s="2"/>
      <c r="F66" t="s">
        <v>28</v>
      </c>
      <c r="G66" t="s">
        <v>58</v>
      </c>
      <c r="I66" s="2">
        <v>2</v>
      </c>
      <c r="J66">
        <f t="shared" si="3"/>
        <v>-1.6490634780386539</v>
      </c>
      <c r="K66" s="8">
        <v>1.5</v>
      </c>
      <c r="L66" s="8">
        <v>1.2</v>
      </c>
      <c r="M66" s="8">
        <v>1.5</v>
      </c>
      <c r="N66" s="8">
        <v>1.1000000000000001</v>
      </c>
      <c r="O66" s="8">
        <v>2</v>
      </c>
      <c r="P66" s="8">
        <v>1.2</v>
      </c>
      <c r="Q66">
        <v>1.05</v>
      </c>
      <c r="R66">
        <f t="shared" si="2"/>
        <v>0.47095746419981693</v>
      </c>
    </row>
    <row r="67" spans="1:18" ht="16" x14ac:dyDescent="0.2">
      <c r="A67" t="s">
        <v>557</v>
      </c>
      <c r="B67" s="6">
        <v>6.526924466931704E-7</v>
      </c>
      <c r="C67" t="s">
        <v>26</v>
      </c>
      <c r="D67" t="s">
        <v>27</v>
      </c>
      <c r="E67" s="2"/>
      <c r="F67" t="s">
        <v>28</v>
      </c>
      <c r="G67" t="s">
        <v>558</v>
      </c>
      <c r="I67" s="2">
        <v>2</v>
      </c>
      <c r="J67">
        <f t="shared" si="3"/>
        <v>-14.242159803774268</v>
      </c>
      <c r="K67" s="8">
        <v>1.5</v>
      </c>
      <c r="L67" s="8">
        <v>1.2</v>
      </c>
      <c r="M67" s="8">
        <v>1.5</v>
      </c>
      <c r="N67" s="8">
        <v>1.1000000000000001</v>
      </c>
      <c r="O67" s="8">
        <v>2</v>
      </c>
      <c r="P67" s="8">
        <v>1.2</v>
      </c>
      <c r="Q67">
        <v>1.05</v>
      </c>
      <c r="R67">
        <f t="shared" si="2"/>
        <v>0.47095746419981693</v>
      </c>
    </row>
    <row r="68" spans="1:18" ht="16" x14ac:dyDescent="0.2">
      <c r="A68" t="s">
        <v>547</v>
      </c>
      <c r="B68" s="12">
        <v>4.0946873870617996E-2</v>
      </c>
      <c r="C68" t="s">
        <v>37</v>
      </c>
      <c r="D68" t="s">
        <v>27</v>
      </c>
      <c r="E68" s="2"/>
      <c r="F68" t="s">
        <v>28</v>
      </c>
      <c r="G68" t="s">
        <v>548</v>
      </c>
      <c r="I68" s="2">
        <v>2</v>
      </c>
      <c r="J68">
        <f t="shared" si="3"/>
        <v>-3.1954798117529655</v>
      </c>
      <c r="K68" s="8">
        <v>1.5</v>
      </c>
      <c r="L68" s="8">
        <v>1.2</v>
      </c>
      <c r="M68" s="8">
        <v>1.5</v>
      </c>
      <c r="N68" s="8">
        <v>1.1000000000000001</v>
      </c>
      <c r="O68" s="8">
        <v>2</v>
      </c>
      <c r="P68" s="8">
        <v>1.2</v>
      </c>
      <c r="Q68">
        <v>1.05</v>
      </c>
      <c r="R68">
        <f t="shared" si="2"/>
        <v>0.47095746419981693</v>
      </c>
    </row>
    <row r="69" spans="1:18" ht="16" x14ac:dyDescent="0.2">
      <c r="A69" t="s">
        <v>559</v>
      </c>
      <c r="B69" s="7">
        <v>1.6096855800505964E-2</v>
      </c>
      <c r="C69" t="s">
        <v>26</v>
      </c>
      <c r="D69" t="s">
        <v>27</v>
      </c>
      <c r="E69" s="2"/>
      <c r="F69" t="s">
        <v>28</v>
      </c>
      <c r="G69" t="s">
        <v>560</v>
      </c>
      <c r="I69" s="2">
        <v>2</v>
      </c>
      <c r="J69">
        <f t="shared" si="3"/>
        <v>-4.1291313179577047</v>
      </c>
      <c r="K69" s="8">
        <v>1.5</v>
      </c>
      <c r="L69" s="8">
        <v>1.2</v>
      </c>
      <c r="M69" s="8">
        <v>1.5</v>
      </c>
      <c r="N69" s="8">
        <v>1.1000000000000001</v>
      </c>
      <c r="O69" s="8">
        <v>2</v>
      </c>
      <c r="P69" s="8">
        <v>1.2</v>
      </c>
      <c r="Q69">
        <v>1.05</v>
      </c>
      <c r="R69">
        <f t="shared" si="2"/>
        <v>0.47095746419981693</v>
      </c>
    </row>
    <row r="70" spans="1:18" ht="16" x14ac:dyDescent="0.2">
      <c r="A70" t="s">
        <v>538</v>
      </c>
      <c r="B70" s="7">
        <v>1.0234911456451028</v>
      </c>
      <c r="C70" t="s">
        <v>26</v>
      </c>
      <c r="D70" t="s">
        <v>27</v>
      </c>
      <c r="E70" s="2"/>
      <c r="F70" t="s">
        <v>28</v>
      </c>
      <c r="G70" t="s">
        <v>540</v>
      </c>
      <c r="I70" s="2">
        <v>2</v>
      </c>
      <c r="J70">
        <f t="shared" si="3"/>
        <v>2.3219475026684273E-2</v>
      </c>
      <c r="K70" s="8">
        <v>1.5</v>
      </c>
      <c r="L70" s="8">
        <v>1.2</v>
      </c>
      <c r="M70" s="8">
        <v>1.5</v>
      </c>
      <c r="N70" s="8">
        <v>1.1000000000000001</v>
      </c>
      <c r="O70" s="8">
        <v>2</v>
      </c>
      <c r="P70" s="8">
        <v>1.2</v>
      </c>
      <c r="Q70">
        <v>1.05</v>
      </c>
      <c r="R70">
        <f t="shared" si="2"/>
        <v>0.47095746419981693</v>
      </c>
    </row>
    <row r="71" spans="1:18" ht="16" x14ac:dyDescent="0.2">
      <c r="A71" t="s">
        <v>542</v>
      </c>
      <c r="B71" s="7">
        <v>3.2468565233104454</v>
      </c>
      <c r="C71" t="s">
        <v>26</v>
      </c>
      <c r="D71" t="s">
        <v>543</v>
      </c>
      <c r="E71" s="2"/>
      <c r="F71" t="s">
        <v>28</v>
      </c>
      <c r="G71" t="s">
        <v>544</v>
      </c>
      <c r="I71" s="2">
        <v>2</v>
      </c>
      <c r="J71">
        <f t="shared" si="3"/>
        <v>1.1776873046822784</v>
      </c>
      <c r="K71" s="8">
        <v>1.5</v>
      </c>
      <c r="L71" s="8">
        <v>1.2</v>
      </c>
      <c r="M71" s="8">
        <v>1.5</v>
      </c>
      <c r="N71" s="8">
        <v>1.1000000000000001</v>
      </c>
      <c r="O71" s="8">
        <v>2</v>
      </c>
      <c r="P71" s="8">
        <v>1.2</v>
      </c>
      <c r="Q71">
        <v>1.05</v>
      </c>
      <c r="R71">
        <f t="shared" si="2"/>
        <v>0.47095746419981693</v>
      </c>
    </row>
    <row r="72" spans="1:18" x14ac:dyDescent="0.2">
      <c r="K72" s="8"/>
      <c r="L72" s="8"/>
      <c r="M72" s="8"/>
      <c r="N72" s="8"/>
      <c r="O72" s="8"/>
      <c r="P72" s="8"/>
    </row>
    <row r="73" spans="1:18" ht="16" x14ac:dyDescent="0.2">
      <c r="A73" s="1" t="s">
        <v>4</v>
      </c>
      <c r="B73" s="1" t="s">
        <v>585</v>
      </c>
      <c r="K73" s="8"/>
      <c r="L73" s="8"/>
      <c r="M73" s="8"/>
      <c r="N73" s="8"/>
      <c r="O73" s="8"/>
      <c r="P73" s="8"/>
    </row>
    <row r="74" spans="1:18" x14ac:dyDescent="0.2">
      <c r="A74" t="s">
        <v>17</v>
      </c>
      <c r="B74" t="s">
        <v>539</v>
      </c>
      <c r="K74" s="8"/>
      <c r="L74" s="8"/>
      <c r="M74" s="8"/>
      <c r="N74" s="8"/>
      <c r="O74" s="8"/>
      <c r="P74" s="8"/>
    </row>
    <row r="75" spans="1:18" x14ac:dyDescent="0.2">
      <c r="A75" t="s">
        <v>13</v>
      </c>
      <c r="B75" t="s">
        <v>517</v>
      </c>
      <c r="K75" s="8"/>
      <c r="L75" s="8"/>
      <c r="M75" s="8"/>
      <c r="N75" s="8"/>
      <c r="O75" s="8"/>
      <c r="P75" s="8"/>
    </row>
    <row r="76" spans="1:18" x14ac:dyDescent="0.2">
      <c r="A76" t="s">
        <v>5</v>
      </c>
      <c r="B76" t="s">
        <v>26</v>
      </c>
      <c r="K76" s="8"/>
      <c r="L76" s="8"/>
      <c r="M76" s="8"/>
      <c r="N76" s="8"/>
      <c r="O76" s="8"/>
      <c r="P76" s="8"/>
    </row>
    <row r="77" spans="1:18" x14ac:dyDescent="0.2">
      <c r="A77" t="s">
        <v>564</v>
      </c>
      <c r="B77" s="9" t="s">
        <v>565</v>
      </c>
    </row>
    <row r="78" spans="1:18" x14ac:dyDescent="0.2">
      <c r="A78" t="s">
        <v>6</v>
      </c>
      <c r="B78">
        <v>1</v>
      </c>
      <c r="K78" s="8"/>
      <c r="L78" s="8"/>
      <c r="M78" s="8"/>
      <c r="N78" s="8"/>
      <c r="O78" s="8"/>
      <c r="P78" s="8"/>
    </row>
    <row r="79" spans="1:18" x14ac:dyDescent="0.2">
      <c r="A79" t="s">
        <v>7</v>
      </c>
      <c r="B79" t="s">
        <v>586</v>
      </c>
      <c r="K79" s="8"/>
      <c r="L79" s="8"/>
      <c r="M79" s="8"/>
      <c r="N79" s="8"/>
      <c r="O79" s="8"/>
      <c r="P79" s="8"/>
    </row>
    <row r="80" spans="1:18" x14ac:dyDescent="0.2">
      <c r="A80" t="s">
        <v>10</v>
      </c>
      <c r="B80" t="s">
        <v>27</v>
      </c>
      <c r="K80" s="8"/>
      <c r="L80" s="8"/>
      <c r="M80" s="8"/>
      <c r="N80" s="8"/>
      <c r="O80" s="8"/>
      <c r="P80" s="8"/>
    </row>
    <row r="81" spans="1:20" ht="16" x14ac:dyDescent="0.2">
      <c r="A81" s="1" t="s">
        <v>18</v>
      </c>
      <c r="K81" s="8"/>
      <c r="L81" s="8"/>
      <c r="M81" s="8"/>
      <c r="N81" s="8"/>
      <c r="O81" s="8"/>
      <c r="P81" s="8"/>
    </row>
    <row r="82" spans="1:20" ht="16" x14ac:dyDescent="0.2">
      <c r="A82" s="1" t="s">
        <v>19</v>
      </c>
      <c r="B82" s="1" t="s">
        <v>20</v>
      </c>
      <c r="C82" s="1" t="s">
        <v>5</v>
      </c>
      <c r="D82" s="1" t="s">
        <v>10</v>
      </c>
      <c r="E82" s="1" t="s">
        <v>22</v>
      </c>
      <c r="F82" s="1" t="s">
        <v>8</v>
      </c>
      <c r="G82" s="1" t="s">
        <v>7</v>
      </c>
      <c r="H82" s="10" t="s">
        <v>17</v>
      </c>
      <c r="I82" s="10" t="s">
        <v>567</v>
      </c>
      <c r="J82" s="1" t="s">
        <v>568</v>
      </c>
      <c r="K82" s="11" t="s">
        <v>569</v>
      </c>
      <c r="L82" s="11" t="s">
        <v>570</v>
      </c>
      <c r="M82" s="11" t="s">
        <v>571</v>
      </c>
      <c r="N82" s="11" t="s">
        <v>572</v>
      </c>
      <c r="O82" s="11" t="s">
        <v>573</v>
      </c>
      <c r="P82" s="11" t="s">
        <v>574</v>
      </c>
      <c r="Q82" s="1" t="s">
        <v>575</v>
      </c>
      <c r="R82" s="1" t="s">
        <v>576</v>
      </c>
      <c r="S82" s="10" t="s">
        <v>577</v>
      </c>
      <c r="T82" s="1" t="s">
        <v>578</v>
      </c>
    </row>
    <row r="83" spans="1:20" ht="16" x14ac:dyDescent="0.2">
      <c r="A83" t="str">
        <f>B73</f>
        <v>carbon fiber production, fiber relaxation</v>
      </c>
      <c r="B83">
        <v>1</v>
      </c>
      <c r="C83" t="s">
        <v>26</v>
      </c>
      <c r="D83" t="s">
        <v>27</v>
      </c>
      <c r="E83" s="2"/>
      <c r="F83" t="s">
        <v>24</v>
      </c>
      <c r="G83" t="str">
        <f>B79</f>
        <v>carbon fiber, relaxed</v>
      </c>
      <c r="H83" s="2"/>
      <c r="I83" s="2"/>
      <c r="K83" s="8"/>
      <c r="L83" s="8"/>
      <c r="M83" s="8"/>
      <c r="N83" s="8"/>
      <c r="O83" s="8"/>
      <c r="P83" s="8"/>
      <c r="T83" t="s">
        <v>579</v>
      </c>
    </row>
    <row r="84" spans="1:20" ht="16" x14ac:dyDescent="0.2">
      <c r="A84" t="str">
        <f>A48</f>
        <v>carbon fiber production, fiber coagulation, stretching, washing, sizing and drying</v>
      </c>
      <c r="B84">
        <v>1.001085</v>
      </c>
      <c r="C84" t="s">
        <v>26</v>
      </c>
      <c r="D84" t="s">
        <v>27</v>
      </c>
      <c r="E84" s="2"/>
      <c r="F84" t="s">
        <v>28</v>
      </c>
      <c r="G84" t="s">
        <v>566</v>
      </c>
      <c r="H84" s="2"/>
      <c r="I84" s="2">
        <v>2</v>
      </c>
      <c r="J84">
        <f t="shared" ref="J84:J92" si="4">LN(B84)</f>
        <v>1.08441181291688E-3</v>
      </c>
      <c r="K84" s="8">
        <v>1.5</v>
      </c>
      <c r="L84" s="8">
        <v>1.2</v>
      </c>
      <c r="M84" s="8">
        <v>1.5</v>
      </c>
      <c r="N84" s="8">
        <v>1.1000000000000001</v>
      </c>
      <c r="O84" s="8">
        <v>2</v>
      </c>
      <c r="P84" s="8">
        <v>1.2</v>
      </c>
      <c r="Q84">
        <v>1.05</v>
      </c>
      <c r="R84">
        <f t="shared" ref="R84:R92" si="5">LN(SQRT(EXP(
SQRT(
+POWER(LN(K84),2)
+POWER(LN(L84),2)
+POWER(LN(M84),2)
+POWER(LN(N84),2)
+POWER(LN(O84),2)
+POWER(LN(P84),2)
+POWER(LN(Q84),2)
)
)))</f>
        <v>0.47095746419981693</v>
      </c>
    </row>
    <row r="85" spans="1:20" ht="16" x14ac:dyDescent="0.2">
      <c r="A85" t="s">
        <v>56</v>
      </c>
      <c r="B85" s="12">
        <v>2.5810859403092409E-2</v>
      </c>
      <c r="C85" t="s">
        <v>26</v>
      </c>
      <c r="D85" t="s">
        <v>39</v>
      </c>
      <c r="E85" s="2"/>
      <c r="F85" t="s">
        <v>28</v>
      </c>
      <c r="G85" t="s">
        <v>58</v>
      </c>
      <c r="H85" s="2"/>
      <c r="I85" s="2">
        <v>2</v>
      </c>
      <c r="J85">
        <f t="shared" si="4"/>
        <v>-3.6569599685145038</v>
      </c>
      <c r="K85" s="8">
        <v>1.5</v>
      </c>
      <c r="L85" s="8">
        <v>1.2</v>
      </c>
      <c r="M85" s="8">
        <v>1.5</v>
      </c>
      <c r="N85" s="8">
        <v>1.1000000000000001</v>
      </c>
      <c r="O85" s="8">
        <v>2</v>
      </c>
      <c r="P85" s="8">
        <v>1.2</v>
      </c>
      <c r="Q85">
        <v>1.05</v>
      </c>
      <c r="R85">
        <f t="shared" si="5"/>
        <v>0.47095746419981693</v>
      </c>
    </row>
    <row r="86" spans="1:20" ht="16" x14ac:dyDescent="0.2">
      <c r="A86" t="s">
        <v>557</v>
      </c>
      <c r="B86" s="6">
        <v>2.2218626393383675E-5</v>
      </c>
      <c r="C86" t="s">
        <v>26</v>
      </c>
      <c r="D86" t="s">
        <v>27</v>
      </c>
      <c r="E86" s="2"/>
      <c r="F86" t="s">
        <v>28</v>
      </c>
      <c r="G86" t="s">
        <v>558</v>
      </c>
      <c r="H86" s="2"/>
      <c r="I86" s="2">
        <v>2</v>
      </c>
      <c r="J86">
        <f t="shared" si="4"/>
        <v>-10.714579594143213</v>
      </c>
      <c r="K86" s="8">
        <v>1.5</v>
      </c>
      <c r="L86" s="8">
        <v>1.2</v>
      </c>
      <c r="M86" s="8">
        <v>1.5</v>
      </c>
      <c r="N86" s="8">
        <v>1.1000000000000001</v>
      </c>
      <c r="O86" s="8">
        <v>2</v>
      </c>
      <c r="P86" s="8">
        <v>1.2</v>
      </c>
      <c r="Q86">
        <v>1.05</v>
      </c>
      <c r="R86">
        <f t="shared" si="5"/>
        <v>0.47095746419981693</v>
      </c>
    </row>
    <row r="87" spans="1:20" ht="16" x14ac:dyDescent="0.2">
      <c r="A87" t="s">
        <v>587</v>
      </c>
      <c r="B87">
        <v>5.0017979144192735E-3</v>
      </c>
      <c r="C87" t="s">
        <v>26</v>
      </c>
      <c r="D87" t="s">
        <v>27</v>
      </c>
      <c r="E87" s="2"/>
      <c r="F87" t="s">
        <v>28</v>
      </c>
      <c r="G87" t="s">
        <v>588</v>
      </c>
      <c r="H87" s="2"/>
      <c r="I87" s="2">
        <v>2</v>
      </c>
      <c r="J87">
        <f t="shared" si="4"/>
        <v>-5.2979578482986129</v>
      </c>
      <c r="K87" s="8">
        <v>1.5</v>
      </c>
      <c r="L87" s="8">
        <v>1.2</v>
      </c>
      <c r="M87" s="8">
        <v>1.5</v>
      </c>
      <c r="N87" s="8">
        <v>1.1000000000000001</v>
      </c>
      <c r="O87" s="8">
        <v>2</v>
      </c>
      <c r="P87" s="8">
        <v>1.2</v>
      </c>
      <c r="Q87">
        <v>1.05</v>
      </c>
      <c r="R87">
        <f t="shared" si="5"/>
        <v>0.47095746419981693</v>
      </c>
    </row>
    <row r="88" spans="1:20" ht="16" x14ac:dyDescent="0.2">
      <c r="A88" t="s">
        <v>511</v>
      </c>
      <c r="B88" s="6">
        <v>0.23038282827809753</v>
      </c>
      <c r="C88" t="s">
        <v>26</v>
      </c>
      <c r="D88" t="s">
        <v>512</v>
      </c>
      <c r="E88" s="13"/>
      <c r="F88" t="s">
        <v>28</v>
      </c>
      <c r="G88" t="s">
        <v>513</v>
      </c>
      <c r="H88" s="2"/>
      <c r="I88" s="2">
        <v>2</v>
      </c>
      <c r="J88">
        <f t="shared" si="4"/>
        <v>-1.4680128829808821</v>
      </c>
      <c r="K88" s="8">
        <v>1.5</v>
      </c>
      <c r="L88" s="8">
        <v>1.2</v>
      </c>
      <c r="M88" s="8">
        <v>1.5</v>
      </c>
      <c r="N88" s="8">
        <v>1.1000000000000001</v>
      </c>
      <c r="O88" s="8">
        <v>2</v>
      </c>
      <c r="P88" s="8">
        <v>1.2</v>
      </c>
      <c r="Q88">
        <v>1.05</v>
      </c>
      <c r="R88">
        <f t="shared" si="5"/>
        <v>0.47095746419981693</v>
      </c>
    </row>
    <row r="89" spans="1:20" ht="16" x14ac:dyDescent="0.2">
      <c r="A89" t="s">
        <v>56</v>
      </c>
      <c r="B89" s="12">
        <v>0.12638657970068759</v>
      </c>
      <c r="C89" t="s">
        <v>26</v>
      </c>
      <c r="D89" t="s">
        <v>39</v>
      </c>
      <c r="E89" s="13"/>
      <c r="F89" t="s">
        <v>28</v>
      </c>
      <c r="G89" t="s">
        <v>58</v>
      </c>
      <c r="H89" s="2"/>
      <c r="I89" s="2">
        <v>2</v>
      </c>
      <c r="J89">
        <f t="shared" si="4"/>
        <v>-2.0684099761602126</v>
      </c>
      <c r="K89" s="8">
        <v>1.5</v>
      </c>
      <c r="L89" s="8">
        <v>1.2</v>
      </c>
      <c r="M89" s="8">
        <v>1.5</v>
      </c>
      <c r="N89" s="8">
        <v>1.1000000000000001</v>
      </c>
      <c r="O89" s="8">
        <v>2</v>
      </c>
      <c r="P89" s="8">
        <v>1.2</v>
      </c>
      <c r="Q89">
        <v>1.05</v>
      </c>
      <c r="R89">
        <f t="shared" si="5"/>
        <v>0.47095746419981693</v>
      </c>
    </row>
    <row r="90" spans="1:20" ht="16" x14ac:dyDescent="0.2">
      <c r="A90" t="s">
        <v>557</v>
      </c>
      <c r="B90" s="6">
        <v>2.7800727856121055E-5</v>
      </c>
      <c r="C90" t="s">
        <v>26</v>
      </c>
      <c r="D90" t="s">
        <v>27</v>
      </c>
      <c r="E90" s="13"/>
      <c r="F90" t="s">
        <v>28</v>
      </c>
      <c r="G90" t="s">
        <v>558</v>
      </c>
      <c r="H90" s="2"/>
      <c r="I90" s="2">
        <v>2</v>
      </c>
      <c r="J90">
        <f t="shared" si="4"/>
        <v>-10.490448355735564</v>
      </c>
      <c r="K90" s="8">
        <v>1.5</v>
      </c>
      <c r="L90" s="8">
        <v>1.2</v>
      </c>
      <c r="M90" s="8">
        <v>1.5</v>
      </c>
      <c r="N90" s="8">
        <v>1.1000000000000001</v>
      </c>
      <c r="O90" s="8">
        <v>2</v>
      </c>
      <c r="P90" s="8">
        <v>1.2</v>
      </c>
      <c r="Q90">
        <v>1.05</v>
      </c>
      <c r="R90">
        <f t="shared" si="5"/>
        <v>0.47095746419981693</v>
      </c>
    </row>
    <row r="91" spans="1:20" ht="16" x14ac:dyDescent="0.2">
      <c r="A91" t="s">
        <v>559</v>
      </c>
      <c r="B91">
        <v>0.99604575913358739</v>
      </c>
      <c r="C91" t="s">
        <v>26</v>
      </c>
      <c r="D91" t="s">
        <v>27</v>
      </c>
      <c r="E91" s="13"/>
      <c r="F91" t="s">
        <v>28</v>
      </c>
      <c r="G91" t="s">
        <v>560</v>
      </c>
      <c r="H91" s="2"/>
      <c r="I91" s="2">
        <v>2</v>
      </c>
      <c r="J91">
        <f t="shared" si="4"/>
        <v>-3.962079547673537E-3</v>
      </c>
      <c r="K91" s="8">
        <v>1.5</v>
      </c>
      <c r="L91" s="8">
        <v>1.2</v>
      </c>
      <c r="M91" s="8">
        <v>1.5</v>
      </c>
      <c r="N91" s="8">
        <v>1.1000000000000001</v>
      </c>
      <c r="O91" s="8">
        <v>2</v>
      </c>
      <c r="P91" s="8">
        <v>1.2</v>
      </c>
      <c r="Q91">
        <v>1.05</v>
      </c>
      <c r="R91">
        <f t="shared" si="5"/>
        <v>0.47095746419981693</v>
      </c>
    </row>
    <row r="92" spans="1:20" ht="16" x14ac:dyDescent="0.2">
      <c r="A92" t="s">
        <v>542</v>
      </c>
      <c r="B92" s="7">
        <v>0.91340499081268278</v>
      </c>
      <c r="C92" t="s">
        <v>26</v>
      </c>
      <c r="D92" t="s">
        <v>543</v>
      </c>
      <c r="E92" s="13"/>
      <c r="F92" t="s">
        <v>28</v>
      </c>
      <c r="G92" t="s">
        <v>544</v>
      </c>
      <c r="H92" s="2"/>
      <c r="I92" s="2">
        <v>2</v>
      </c>
      <c r="J92">
        <f t="shared" si="4"/>
        <v>-9.0575914251549441E-2</v>
      </c>
      <c r="K92" s="8">
        <v>1.5</v>
      </c>
      <c r="L92" s="8">
        <v>1.2</v>
      </c>
      <c r="M92" s="8">
        <v>1.5</v>
      </c>
      <c r="N92" s="8">
        <v>1.1000000000000001</v>
      </c>
      <c r="O92" s="8">
        <v>2</v>
      </c>
      <c r="P92" s="8">
        <v>1.2</v>
      </c>
      <c r="Q92">
        <v>1.05</v>
      </c>
      <c r="R92">
        <f t="shared" si="5"/>
        <v>0.47095746419981693</v>
      </c>
    </row>
    <row r="93" spans="1:20" x14ac:dyDescent="0.2">
      <c r="K93" s="8"/>
      <c r="L93" s="8"/>
      <c r="M93" s="8"/>
      <c r="N93" s="8"/>
      <c r="O93" s="8"/>
      <c r="P93" s="8"/>
    </row>
    <row r="94" spans="1:20" ht="16" x14ac:dyDescent="0.2">
      <c r="A94" s="1" t="s">
        <v>4</v>
      </c>
      <c r="B94" s="1" t="s">
        <v>589</v>
      </c>
      <c r="K94" s="8"/>
      <c r="L94" s="8"/>
      <c r="M94" s="8"/>
      <c r="N94" s="8"/>
      <c r="O94" s="8"/>
      <c r="P94" s="8"/>
    </row>
    <row r="95" spans="1:20" x14ac:dyDescent="0.2">
      <c r="A95" t="s">
        <v>17</v>
      </c>
      <c r="B95" t="s">
        <v>539</v>
      </c>
      <c r="K95" s="8"/>
      <c r="L95" s="8"/>
      <c r="M95" s="8"/>
      <c r="N95" s="8"/>
      <c r="O95" s="8"/>
      <c r="P95" s="8"/>
    </row>
    <row r="96" spans="1:20" x14ac:dyDescent="0.2">
      <c r="A96" t="s">
        <v>13</v>
      </c>
      <c r="B96" t="s">
        <v>517</v>
      </c>
      <c r="K96" s="8"/>
      <c r="L96" s="8"/>
      <c r="M96" s="8"/>
      <c r="N96" s="8"/>
      <c r="O96" s="8"/>
      <c r="P96" s="8"/>
    </row>
    <row r="97" spans="1:20" x14ac:dyDescent="0.2">
      <c r="A97" t="s">
        <v>5</v>
      </c>
      <c r="B97" t="s">
        <v>26</v>
      </c>
      <c r="K97" s="8"/>
      <c r="L97" s="8"/>
      <c r="M97" s="8"/>
      <c r="N97" s="8"/>
      <c r="O97" s="8"/>
      <c r="P97" s="8"/>
    </row>
    <row r="98" spans="1:20" x14ac:dyDescent="0.2">
      <c r="A98" t="s">
        <v>564</v>
      </c>
      <c r="B98" s="9" t="s">
        <v>565</v>
      </c>
    </row>
    <row r="99" spans="1:20" x14ac:dyDescent="0.2">
      <c r="A99" t="s">
        <v>6</v>
      </c>
      <c r="B99">
        <v>1</v>
      </c>
      <c r="K99" s="8"/>
      <c r="L99" s="8"/>
      <c r="M99" s="8"/>
      <c r="N99" s="8"/>
      <c r="O99" s="8"/>
      <c r="P99" s="8"/>
    </row>
    <row r="100" spans="1:20" x14ac:dyDescent="0.2">
      <c r="A100" t="s">
        <v>7</v>
      </c>
      <c r="B100" t="s">
        <v>590</v>
      </c>
      <c r="K100" s="8"/>
      <c r="L100" s="8"/>
      <c r="M100" s="8"/>
      <c r="N100" s="8"/>
      <c r="O100" s="8"/>
      <c r="P100" s="8"/>
    </row>
    <row r="101" spans="1:20" x14ac:dyDescent="0.2">
      <c r="A101" t="s">
        <v>10</v>
      </c>
      <c r="B101" t="s">
        <v>27</v>
      </c>
      <c r="K101" s="8"/>
      <c r="L101" s="8"/>
      <c r="M101" s="8"/>
      <c r="N101" s="8"/>
      <c r="O101" s="8"/>
      <c r="P101" s="8"/>
    </row>
    <row r="102" spans="1:20" ht="16" x14ac:dyDescent="0.2">
      <c r="A102" s="1" t="s">
        <v>18</v>
      </c>
      <c r="K102" s="8"/>
      <c r="L102" s="8"/>
      <c r="M102" s="8"/>
      <c r="N102" s="8"/>
      <c r="O102" s="8"/>
      <c r="P102" s="8"/>
    </row>
    <row r="103" spans="1:20" ht="16" x14ac:dyDescent="0.2">
      <c r="A103" s="1" t="s">
        <v>19</v>
      </c>
      <c r="B103" s="1" t="s">
        <v>20</v>
      </c>
      <c r="C103" s="1" t="s">
        <v>5</v>
      </c>
      <c r="D103" s="1" t="s">
        <v>10</v>
      </c>
      <c r="E103" s="1" t="s">
        <v>22</v>
      </c>
      <c r="F103" s="1" t="s">
        <v>8</v>
      </c>
      <c r="G103" s="1" t="s">
        <v>7</v>
      </c>
      <c r="H103" s="10" t="s">
        <v>17</v>
      </c>
      <c r="I103" s="10" t="s">
        <v>567</v>
      </c>
      <c r="J103" s="1" t="s">
        <v>568</v>
      </c>
      <c r="K103" s="11" t="s">
        <v>569</v>
      </c>
      <c r="L103" s="11" t="s">
        <v>570</v>
      </c>
      <c r="M103" s="11" t="s">
        <v>571</v>
      </c>
      <c r="N103" s="11" t="s">
        <v>572</v>
      </c>
      <c r="O103" s="11" t="s">
        <v>573</v>
      </c>
      <c r="P103" s="11" t="s">
        <v>574</v>
      </c>
      <c r="Q103" s="1" t="s">
        <v>575</v>
      </c>
      <c r="R103" s="1" t="s">
        <v>576</v>
      </c>
      <c r="S103" s="10" t="s">
        <v>577</v>
      </c>
      <c r="T103" s="1" t="s">
        <v>578</v>
      </c>
    </row>
    <row r="104" spans="1:20" ht="16" x14ac:dyDescent="0.2">
      <c r="A104" t="str">
        <f>B94</f>
        <v>carbon fiber production, fiber winding and unwinding</v>
      </c>
      <c r="B104">
        <v>1</v>
      </c>
      <c r="C104" t="s">
        <v>26</v>
      </c>
      <c r="D104" t="s">
        <v>27</v>
      </c>
      <c r="E104" s="2"/>
      <c r="F104" t="s">
        <v>24</v>
      </c>
      <c r="G104" t="str">
        <f>B100</f>
        <v>carbon fiber, unwound</v>
      </c>
      <c r="H104" s="2"/>
      <c r="I104" s="2"/>
      <c r="K104" s="8"/>
      <c r="L104" s="8"/>
      <c r="M104" s="8"/>
      <c r="N104" s="8"/>
      <c r="O104" s="8"/>
      <c r="P104" s="8"/>
      <c r="T104" t="s">
        <v>579</v>
      </c>
    </row>
    <row r="105" spans="1:20" ht="16" x14ac:dyDescent="0.2">
      <c r="A105" t="s">
        <v>511</v>
      </c>
      <c r="B105" s="6">
        <v>3.5971223021582739E-2</v>
      </c>
      <c r="C105" t="s">
        <v>26</v>
      </c>
      <c r="D105" t="s">
        <v>512</v>
      </c>
      <c r="E105" s="2"/>
      <c r="F105" t="s">
        <v>28</v>
      </c>
      <c r="G105" t="s">
        <v>513</v>
      </c>
      <c r="H105" s="2"/>
      <c r="I105" s="2">
        <v>2</v>
      </c>
      <c r="J105">
        <f t="shared" ref="J105:J110" si="6">LN(B105)</f>
        <v>-3.3250360206965914</v>
      </c>
      <c r="K105" s="8">
        <v>1.5</v>
      </c>
      <c r="L105" s="8">
        <v>1.2</v>
      </c>
      <c r="M105" s="8">
        <v>1.5</v>
      </c>
      <c r="N105" s="8">
        <v>1.1000000000000001</v>
      </c>
      <c r="O105" s="8">
        <v>2</v>
      </c>
      <c r="P105" s="8">
        <v>1.2</v>
      </c>
      <c r="Q105">
        <v>1.05</v>
      </c>
      <c r="R105">
        <f t="shared" ref="R105:R110" si="7">LN(SQRT(EXP(
SQRT(
+POWER(LN(K105),2)
+POWER(LN(L105),2)
+POWER(LN(M105),2)
+POWER(LN(N105),2)
+POWER(LN(O105),2)
+POWER(LN(P105),2)
+POWER(LN(Q105),2)
)
)))</f>
        <v>0.47095746419981693</v>
      </c>
    </row>
    <row r="106" spans="1:20" ht="16" x14ac:dyDescent="0.2">
      <c r="A106" t="s">
        <v>56</v>
      </c>
      <c r="B106" s="12">
        <v>4.6762589928057562E-2</v>
      </c>
      <c r="C106" t="s">
        <v>26</v>
      </c>
      <c r="D106" t="s">
        <v>39</v>
      </c>
      <c r="E106" s="2"/>
      <c r="F106" t="s">
        <v>28</v>
      </c>
      <c r="G106" t="s">
        <v>58</v>
      </c>
      <c r="H106" s="2"/>
      <c r="I106" s="2">
        <v>2</v>
      </c>
      <c r="J106">
        <f t="shared" si="6"/>
        <v>-3.0626717562291002</v>
      </c>
      <c r="K106" s="8">
        <v>1.5</v>
      </c>
      <c r="L106" s="8">
        <v>1.2</v>
      </c>
      <c r="M106" s="8">
        <v>1.5</v>
      </c>
      <c r="N106" s="8">
        <v>1.1000000000000001</v>
      </c>
      <c r="O106" s="8">
        <v>2</v>
      </c>
      <c r="P106" s="8">
        <v>1.2</v>
      </c>
      <c r="Q106">
        <v>1.05</v>
      </c>
      <c r="R106">
        <f t="shared" si="7"/>
        <v>0.47095746419981693</v>
      </c>
    </row>
    <row r="107" spans="1:20" ht="16" x14ac:dyDescent="0.2">
      <c r="A107" t="s">
        <v>551</v>
      </c>
      <c r="B107" s="6">
        <v>0.10241007194244606</v>
      </c>
      <c r="C107" t="s">
        <v>35</v>
      </c>
      <c r="D107" t="s">
        <v>27</v>
      </c>
      <c r="E107" s="2"/>
      <c r="F107" t="s">
        <v>28</v>
      </c>
      <c r="G107" t="s">
        <v>552</v>
      </c>
      <c r="H107" s="2"/>
      <c r="I107" s="2">
        <v>2</v>
      </c>
      <c r="J107">
        <f t="shared" si="6"/>
        <v>-2.2787702124006906</v>
      </c>
      <c r="K107" s="8">
        <v>1.5</v>
      </c>
      <c r="L107" s="8">
        <v>1.2</v>
      </c>
      <c r="M107" s="8">
        <v>1.5</v>
      </c>
      <c r="N107" s="8">
        <v>1.1000000000000001</v>
      </c>
      <c r="O107" s="8">
        <v>2</v>
      </c>
      <c r="P107" s="8">
        <v>1.2</v>
      </c>
      <c r="Q107">
        <v>1.05</v>
      </c>
      <c r="R107">
        <f t="shared" si="7"/>
        <v>0.47095746419981693</v>
      </c>
    </row>
    <row r="108" spans="1:20" ht="16" x14ac:dyDescent="0.2">
      <c r="A108" t="s">
        <v>511</v>
      </c>
      <c r="B108" s="6">
        <v>0.15260697590794678</v>
      </c>
      <c r="C108" t="s">
        <v>26</v>
      </c>
      <c r="D108" t="s">
        <v>512</v>
      </c>
      <c r="E108" s="2"/>
      <c r="F108" t="s">
        <v>28</v>
      </c>
      <c r="G108" t="s">
        <v>513</v>
      </c>
      <c r="H108" s="2"/>
      <c r="I108" s="2">
        <v>2</v>
      </c>
      <c r="J108">
        <f t="shared" si="6"/>
        <v>-1.8798894474941368</v>
      </c>
      <c r="K108" s="8">
        <v>1.5</v>
      </c>
      <c r="L108" s="8">
        <v>1.2</v>
      </c>
      <c r="M108" s="8">
        <v>1.5</v>
      </c>
      <c r="N108" s="8">
        <v>1.1000000000000001</v>
      </c>
      <c r="O108" s="8">
        <v>2</v>
      </c>
      <c r="P108" s="8">
        <v>1.2</v>
      </c>
      <c r="Q108">
        <v>1.05</v>
      </c>
      <c r="R108">
        <f t="shared" si="7"/>
        <v>0.47095746419981693</v>
      </c>
    </row>
    <row r="109" spans="1:20" ht="16" x14ac:dyDescent="0.2">
      <c r="A109" t="s">
        <v>56</v>
      </c>
      <c r="B109" s="12">
        <v>0.11183027687882056</v>
      </c>
      <c r="C109" t="s">
        <v>26</v>
      </c>
      <c r="D109" t="s">
        <v>39</v>
      </c>
      <c r="E109" s="2"/>
      <c r="F109" t="s">
        <v>28</v>
      </c>
      <c r="G109" t="s">
        <v>58</v>
      </c>
      <c r="H109" s="2"/>
      <c r="I109" s="2">
        <v>2</v>
      </c>
      <c r="J109">
        <f t="shared" si="6"/>
        <v>-2.1907729420547306</v>
      </c>
      <c r="K109" s="8">
        <v>1.5</v>
      </c>
      <c r="L109" s="8">
        <v>1.2</v>
      </c>
      <c r="M109" s="8">
        <v>1.5</v>
      </c>
      <c r="N109" s="8">
        <v>1.1000000000000001</v>
      </c>
      <c r="O109" s="8">
        <v>2</v>
      </c>
      <c r="P109" s="8">
        <v>1.2</v>
      </c>
      <c r="Q109">
        <v>1.05</v>
      </c>
      <c r="R109">
        <f t="shared" si="7"/>
        <v>0.47095746419981693</v>
      </c>
    </row>
    <row r="110" spans="1:20" ht="16" x14ac:dyDescent="0.2">
      <c r="A110" t="str">
        <f>A83</f>
        <v>carbon fiber production, fiber relaxation</v>
      </c>
      <c r="B110">
        <v>1</v>
      </c>
      <c r="C110" t="s">
        <v>26</v>
      </c>
      <c r="D110" t="s">
        <v>27</v>
      </c>
      <c r="E110" s="2"/>
      <c r="F110" t="s">
        <v>28</v>
      </c>
      <c r="G110" t="str">
        <f>G83</f>
        <v>carbon fiber, relaxed</v>
      </c>
      <c r="H110" s="2"/>
      <c r="I110" s="2">
        <v>2</v>
      </c>
      <c r="J110">
        <f t="shared" si="6"/>
        <v>0</v>
      </c>
      <c r="K110" s="8">
        <v>1.5</v>
      </c>
      <c r="L110" s="8">
        <v>1.2</v>
      </c>
      <c r="M110" s="8">
        <v>1.5</v>
      </c>
      <c r="N110" s="8">
        <v>1.1000000000000001</v>
      </c>
      <c r="O110" s="8">
        <v>2</v>
      </c>
      <c r="P110" s="8">
        <v>1.2</v>
      </c>
      <c r="Q110">
        <v>1.05</v>
      </c>
      <c r="R110">
        <f t="shared" si="7"/>
        <v>0.47095746419981693</v>
      </c>
    </row>
    <row r="111" spans="1:20" x14ac:dyDescent="0.2">
      <c r="K111" s="8"/>
      <c r="L111" s="8"/>
      <c r="M111" s="8"/>
      <c r="N111" s="8"/>
      <c r="O111" s="8"/>
      <c r="P111" s="8"/>
    </row>
    <row r="112" spans="1:20" ht="16" x14ac:dyDescent="0.2">
      <c r="A112" s="1" t="s">
        <v>4</v>
      </c>
      <c r="B112" s="1" t="s">
        <v>591</v>
      </c>
      <c r="K112" s="8"/>
      <c r="L112" s="8"/>
      <c r="M112" s="8"/>
      <c r="N112" s="8"/>
      <c r="O112" s="8"/>
      <c r="P112" s="8"/>
    </row>
    <row r="113" spans="1:20" x14ac:dyDescent="0.2">
      <c r="A113" t="s">
        <v>17</v>
      </c>
      <c r="B113" t="s">
        <v>539</v>
      </c>
      <c r="K113" s="8"/>
      <c r="L113" s="8"/>
      <c r="M113" s="8"/>
      <c r="N113" s="8"/>
      <c r="O113" s="8"/>
      <c r="P113" s="8"/>
    </row>
    <row r="114" spans="1:20" x14ac:dyDescent="0.2">
      <c r="A114" t="s">
        <v>13</v>
      </c>
      <c r="B114" t="s">
        <v>517</v>
      </c>
      <c r="K114" s="8"/>
      <c r="L114" s="8"/>
      <c r="M114" s="8"/>
      <c r="N114" s="8"/>
      <c r="O114" s="8"/>
      <c r="P114" s="8"/>
    </row>
    <row r="115" spans="1:20" x14ac:dyDescent="0.2">
      <c r="A115" t="s">
        <v>5</v>
      </c>
      <c r="B115" t="s">
        <v>26</v>
      </c>
      <c r="K115" s="8"/>
      <c r="L115" s="8"/>
      <c r="M115" s="8"/>
      <c r="N115" s="8"/>
      <c r="O115" s="8"/>
      <c r="P115" s="8"/>
    </row>
    <row r="116" spans="1:20" x14ac:dyDescent="0.2">
      <c r="A116" t="s">
        <v>564</v>
      </c>
      <c r="B116" s="9" t="s">
        <v>565</v>
      </c>
    </row>
    <row r="117" spans="1:20" x14ac:dyDescent="0.2">
      <c r="A117" t="s">
        <v>6</v>
      </c>
      <c r="B117">
        <v>1</v>
      </c>
      <c r="K117" s="8"/>
      <c r="L117" s="8"/>
      <c r="M117" s="8"/>
      <c r="N117" s="8"/>
      <c r="O117" s="8"/>
      <c r="P117" s="8"/>
    </row>
    <row r="118" spans="1:20" x14ac:dyDescent="0.2">
      <c r="A118" t="s">
        <v>7</v>
      </c>
      <c r="B118" t="s">
        <v>591</v>
      </c>
      <c r="K118" s="8"/>
      <c r="L118" s="8"/>
      <c r="M118" s="8"/>
      <c r="N118" s="8"/>
      <c r="O118" s="8"/>
      <c r="P118" s="8"/>
    </row>
    <row r="119" spans="1:20" x14ac:dyDescent="0.2">
      <c r="A119" t="s">
        <v>10</v>
      </c>
      <c r="B119" t="s">
        <v>27</v>
      </c>
      <c r="K119" s="8"/>
      <c r="L119" s="8"/>
      <c r="M119" s="8"/>
      <c r="N119" s="8"/>
      <c r="O119" s="8"/>
      <c r="P119" s="8"/>
    </row>
    <row r="120" spans="1:20" ht="16" x14ac:dyDescent="0.2">
      <c r="A120" s="1" t="s">
        <v>18</v>
      </c>
      <c r="K120" s="8"/>
      <c r="L120" s="8"/>
      <c r="M120" s="8"/>
      <c r="N120" s="8"/>
      <c r="O120" s="8"/>
      <c r="P120" s="8"/>
    </row>
    <row r="121" spans="1:20" ht="16" x14ac:dyDescent="0.2">
      <c r="A121" s="1" t="s">
        <v>19</v>
      </c>
      <c r="B121" s="1" t="s">
        <v>20</v>
      </c>
      <c r="C121" s="1" t="s">
        <v>5</v>
      </c>
      <c r="D121" s="1" t="s">
        <v>10</v>
      </c>
      <c r="E121" s="1" t="s">
        <v>22</v>
      </c>
      <c r="F121" s="1" t="s">
        <v>8</v>
      </c>
      <c r="G121" s="1" t="s">
        <v>7</v>
      </c>
      <c r="H121" s="10" t="s">
        <v>17</v>
      </c>
      <c r="I121" s="10" t="s">
        <v>567</v>
      </c>
      <c r="J121" s="1" t="s">
        <v>568</v>
      </c>
      <c r="K121" s="11" t="s">
        <v>569</v>
      </c>
      <c r="L121" s="11" t="s">
        <v>570</v>
      </c>
      <c r="M121" s="11" t="s">
        <v>571</v>
      </c>
      <c r="N121" s="11" t="s">
        <v>572</v>
      </c>
      <c r="O121" s="11" t="s">
        <v>573</v>
      </c>
      <c r="P121" s="11" t="s">
        <v>574</v>
      </c>
      <c r="Q121" s="1" t="s">
        <v>575</v>
      </c>
      <c r="R121" s="1" t="s">
        <v>576</v>
      </c>
      <c r="S121" s="10" t="s">
        <v>577</v>
      </c>
      <c r="T121" s="1" t="s">
        <v>578</v>
      </c>
    </row>
    <row r="122" spans="1:20" ht="16" x14ac:dyDescent="0.2">
      <c r="A122" t="s">
        <v>591</v>
      </c>
      <c r="B122">
        <v>1</v>
      </c>
      <c r="C122" t="s">
        <v>26</v>
      </c>
      <c r="D122" t="s">
        <v>27</v>
      </c>
      <c r="F122" t="s">
        <v>24</v>
      </c>
      <c r="G122" t="s">
        <v>591</v>
      </c>
      <c r="H122" s="2"/>
      <c r="I122" s="2"/>
      <c r="J122" s="2"/>
      <c r="K122" s="8"/>
      <c r="L122" s="8"/>
      <c r="M122" s="8"/>
      <c r="N122" s="8"/>
      <c r="O122" s="8"/>
      <c r="P122" s="8"/>
      <c r="T122" t="s">
        <v>579</v>
      </c>
    </row>
    <row r="123" spans="1:20" ht="16" x14ac:dyDescent="0.2">
      <c r="A123" t="s">
        <v>56</v>
      </c>
      <c r="B123" s="12">
        <v>2.2910670648927507E-2</v>
      </c>
      <c r="C123" t="s">
        <v>26</v>
      </c>
      <c r="D123" t="s">
        <v>39</v>
      </c>
      <c r="F123" t="s">
        <v>28</v>
      </c>
      <c r="G123" t="s">
        <v>58</v>
      </c>
      <c r="H123" s="2"/>
      <c r="I123" s="2">
        <v>2</v>
      </c>
      <c r="J123">
        <f t="shared" ref="J123:J127" si="8">LN(B123)</f>
        <v>-3.7761525097488726</v>
      </c>
      <c r="K123" s="8">
        <v>1.5</v>
      </c>
      <c r="L123" s="8">
        <v>1.2</v>
      </c>
      <c r="M123" s="8">
        <v>1.5</v>
      </c>
      <c r="N123" s="8">
        <v>1.1000000000000001</v>
      </c>
      <c r="O123" s="8">
        <v>2</v>
      </c>
      <c r="P123" s="8">
        <v>1.2</v>
      </c>
      <c r="Q123">
        <v>1.05</v>
      </c>
      <c r="R123">
        <f t="shared" ref="R123:R127" si="9">LN(SQRT(EXP(
SQRT(
+POWER(LN(K123),2)
+POWER(LN(L123),2)
+POWER(LN(M123),2)
+POWER(LN(N123),2)
+POWER(LN(O123),2)
+POWER(LN(P123),2)
+POWER(LN(Q123),2)
)
)))</f>
        <v>0.47095746419981693</v>
      </c>
    </row>
    <row r="124" spans="1:20" ht="16" x14ac:dyDescent="0.2">
      <c r="A124" t="s">
        <v>605</v>
      </c>
      <c r="B124">
        <v>1.2598425196850395E-2</v>
      </c>
      <c r="D124" t="s">
        <v>27</v>
      </c>
      <c r="E124" t="s">
        <v>30</v>
      </c>
      <c r="F124" t="s">
        <v>31</v>
      </c>
      <c r="H124" s="2"/>
      <c r="I124" s="2">
        <v>2</v>
      </c>
      <c r="J124">
        <f t="shared" si="8"/>
        <v>-4.3741834572128555</v>
      </c>
      <c r="K124" s="8">
        <v>1.5</v>
      </c>
      <c r="L124" s="8">
        <v>1.2</v>
      </c>
      <c r="M124" s="8">
        <v>1.5</v>
      </c>
      <c r="N124" s="8">
        <v>1.1000000000000001</v>
      </c>
      <c r="O124" s="8">
        <v>2</v>
      </c>
      <c r="P124" s="8">
        <v>1.2</v>
      </c>
      <c r="Q124" s="8">
        <v>1.5</v>
      </c>
      <c r="R124">
        <f t="shared" si="9"/>
        <v>0.51215847306170115</v>
      </c>
    </row>
    <row r="125" spans="1:20" ht="16" x14ac:dyDescent="0.2">
      <c r="A125" t="s">
        <v>36</v>
      </c>
      <c r="B125">
        <v>1.629106706489275E-3</v>
      </c>
      <c r="D125" t="s">
        <v>27</v>
      </c>
      <c r="E125" t="s">
        <v>30</v>
      </c>
      <c r="F125" t="s">
        <v>31</v>
      </c>
      <c r="H125" s="2"/>
      <c r="I125" s="2">
        <v>2</v>
      </c>
      <c r="J125">
        <f t="shared" si="8"/>
        <v>-6.4197234472170104</v>
      </c>
      <c r="K125" s="8">
        <v>1.5</v>
      </c>
      <c r="L125" s="8">
        <v>1.2</v>
      </c>
      <c r="M125" s="8">
        <v>1.5</v>
      </c>
      <c r="N125" s="8">
        <v>1.1000000000000001</v>
      </c>
      <c r="O125" s="8">
        <v>2</v>
      </c>
      <c r="P125" s="8">
        <v>1.2</v>
      </c>
      <c r="Q125" s="8">
        <v>1.05</v>
      </c>
      <c r="R125">
        <f t="shared" si="9"/>
        <v>0.47095746419981693</v>
      </c>
    </row>
    <row r="126" spans="1:20" ht="16" x14ac:dyDescent="0.2">
      <c r="A126" t="s">
        <v>592</v>
      </c>
      <c r="B126">
        <v>7.4287265815910948E-3</v>
      </c>
      <c r="D126" t="s">
        <v>27</v>
      </c>
      <c r="E126" t="s">
        <v>30</v>
      </c>
      <c r="F126" t="s">
        <v>31</v>
      </c>
      <c r="H126" s="2"/>
      <c r="I126" s="2">
        <v>2</v>
      </c>
      <c r="J126">
        <f t="shared" si="8"/>
        <v>-4.9024008236907157</v>
      </c>
      <c r="K126" s="8">
        <v>1.5</v>
      </c>
      <c r="L126" s="8">
        <v>1.2</v>
      </c>
      <c r="M126" s="8">
        <v>1.5</v>
      </c>
      <c r="N126" s="8">
        <v>1.1000000000000001</v>
      </c>
      <c r="O126" s="8">
        <v>2</v>
      </c>
      <c r="P126" s="8">
        <v>1.2</v>
      </c>
      <c r="Q126" s="8">
        <v>1.5</v>
      </c>
      <c r="R126">
        <f t="shared" si="9"/>
        <v>0.51215847306170115</v>
      </c>
    </row>
    <row r="127" spans="1:20" ht="16" x14ac:dyDescent="0.2">
      <c r="A127" t="s">
        <v>580</v>
      </c>
      <c r="B127">
        <f>0.207439587292968/1000</f>
        <v>2.0743958729296799E-4</v>
      </c>
      <c r="D127" t="s">
        <v>512</v>
      </c>
      <c r="E127" t="s">
        <v>30</v>
      </c>
      <c r="F127" t="s">
        <v>31</v>
      </c>
      <c r="H127" s="2"/>
      <c r="I127" s="2">
        <v>2</v>
      </c>
      <c r="J127">
        <f t="shared" si="8"/>
        <v>-8.4806704062606801</v>
      </c>
      <c r="K127" s="8">
        <v>1.5</v>
      </c>
      <c r="L127" s="8">
        <v>1.2</v>
      </c>
      <c r="M127" s="8">
        <v>1.5</v>
      </c>
      <c r="N127" s="8">
        <v>1.1000000000000001</v>
      </c>
      <c r="O127" s="8">
        <v>2</v>
      </c>
      <c r="P127" s="8">
        <v>1.2</v>
      </c>
      <c r="Q127" s="8">
        <v>1.05</v>
      </c>
      <c r="R127">
        <f t="shared" si="9"/>
        <v>0.47095746419981693</v>
      </c>
    </row>
    <row r="128" spans="1:20" x14ac:dyDescent="0.2">
      <c r="K128" s="8"/>
      <c r="L128" s="8"/>
      <c r="M128" s="8"/>
      <c r="N128" s="8"/>
      <c r="O128" s="8"/>
      <c r="P128" s="8"/>
    </row>
    <row r="129" spans="1:20" ht="16" x14ac:dyDescent="0.2">
      <c r="A129" s="1" t="s">
        <v>4</v>
      </c>
      <c r="B129" s="1" t="s">
        <v>593</v>
      </c>
      <c r="K129" s="8"/>
      <c r="L129" s="8"/>
      <c r="M129" s="8"/>
      <c r="N129" s="8"/>
      <c r="O129" s="8"/>
      <c r="P129" s="8"/>
    </row>
    <row r="130" spans="1:20" x14ac:dyDescent="0.2">
      <c r="A130" t="s">
        <v>17</v>
      </c>
      <c r="B130" t="s">
        <v>539</v>
      </c>
      <c r="K130" s="8"/>
      <c r="L130" s="8"/>
      <c r="M130" s="8"/>
      <c r="N130" s="8"/>
      <c r="O130" s="8"/>
      <c r="P130" s="8"/>
    </row>
    <row r="131" spans="1:20" x14ac:dyDescent="0.2">
      <c r="A131" t="s">
        <v>13</v>
      </c>
      <c r="B131" t="s">
        <v>517</v>
      </c>
      <c r="K131" s="8"/>
      <c r="L131" s="8"/>
      <c r="M131" s="8"/>
      <c r="N131" s="8"/>
      <c r="O131" s="8"/>
      <c r="P131" s="8"/>
    </row>
    <row r="132" spans="1:20" x14ac:dyDescent="0.2">
      <c r="A132" t="s">
        <v>564</v>
      </c>
      <c r="B132" s="9" t="s">
        <v>565</v>
      </c>
    </row>
    <row r="133" spans="1:20" x14ac:dyDescent="0.2">
      <c r="A133" t="s">
        <v>5</v>
      </c>
      <c r="B133" t="s">
        <v>26</v>
      </c>
      <c r="K133" s="8"/>
      <c r="L133" s="8"/>
      <c r="M133" s="8"/>
      <c r="N133" s="8"/>
      <c r="O133" s="8"/>
      <c r="P133" s="8"/>
    </row>
    <row r="134" spans="1:20" x14ac:dyDescent="0.2">
      <c r="A134" t="s">
        <v>6</v>
      </c>
      <c r="B134">
        <v>1</v>
      </c>
      <c r="K134" s="8"/>
      <c r="L134" s="8"/>
      <c r="M134" s="8"/>
      <c r="N134" s="8"/>
      <c r="O134" s="8"/>
      <c r="P134" s="8"/>
    </row>
    <row r="135" spans="1:20" x14ac:dyDescent="0.2">
      <c r="A135" t="s">
        <v>7</v>
      </c>
      <c r="B135" t="s">
        <v>593</v>
      </c>
      <c r="K135" s="8"/>
      <c r="L135" s="8"/>
      <c r="M135" s="8"/>
      <c r="N135" s="8"/>
      <c r="O135" s="8"/>
      <c r="P135" s="8"/>
    </row>
    <row r="136" spans="1:20" x14ac:dyDescent="0.2">
      <c r="A136" t="s">
        <v>10</v>
      </c>
      <c r="B136" t="s">
        <v>27</v>
      </c>
      <c r="K136" s="8"/>
      <c r="L136" s="8"/>
      <c r="M136" s="8"/>
      <c r="N136" s="8"/>
      <c r="O136" s="8"/>
      <c r="P136" s="8"/>
    </row>
    <row r="137" spans="1:20" ht="16" x14ac:dyDescent="0.2">
      <c r="A137" s="1" t="s">
        <v>18</v>
      </c>
      <c r="K137" s="8"/>
      <c r="L137" s="8"/>
      <c r="M137" s="8"/>
      <c r="N137" s="8"/>
      <c r="O137" s="8"/>
      <c r="P137" s="8"/>
    </row>
    <row r="138" spans="1:20" ht="16" x14ac:dyDescent="0.2">
      <c r="A138" s="1" t="s">
        <v>19</v>
      </c>
      <c r="B138" s="1" t="s">
        <v>20</v>
      </c>
      <c r="C138" s="1" t="s">
        <v>5</v>
      </c>
      <c r="D138" s="1" t="s">
        <v>10</v>
      </c>
      <c r="E138" s="1" t="s">
        <v>22</v>
      </c>
      <c r="F138" s="1" t="s">
        <v>8</v>
      </c>
      <c r="G138" s="1" t="s">
        <v>7</v>
      </c>
      <c r="H138" s="10" t="s">
        <v>17</v>
      </c>
      <c r="I138" s="10" t="s">
        <v>567</v>
      </c>
      <c r="J138" s="1" t="s">
        <v>568</v>
      </c>
      <c r="K138" s="11" t="s">
        <v>569</v>
      </c>
      <c r="L138" s="11" t="s">
        <v>570</v>
      </c>
      <c r="M138" s="11" t="s">
        <v>571</v>
      </c>
      <c r="N138" s="11" t="s">
        <v>572</v>
      </c>
      <c r="O138" s="11" t="s">
        <v>573</v>
      </c>
      <c r="P138" s="11" t="s">
        <v>574</v>
      </c>
      <c r="Q138" s="1" t="s">
        <v>575</v>
      </c>
      <c r="R138" s="1" t="s">
        <v>576</v>
      </c>
      <c r="S138" s="10" t="s">
        <v>577</v>
      </c>
      <c r="T138" s="1" t="s">
        <v>578</v>
      </c>
    </row>
    <row r="139" spans="1:20" ht="16" x14ac:dyDescent="0.2">
      <c r="A139" t="s">
        <v>593</v>
      </c>
      <c r="B139">
        <v>1</v>
      </c>
      <c r="C139" t="s">
        <v>26</v>
      </c>
      <c r="D139" t="s">
        <v>27</v>
      </c>
      <c r="F139" t="s">
        <v>24</v>
      </c>
      <c r="G139" t="s">
        <v>593</v>
      </c>
      <c r="H139" s="2"/>
      <c r="I139" s="2"/>
      <c r="J139" s="2"/>
      <c r="K139" s="8"/>
      <c r="L139" s="8"/>
      <c r="M139" s="8"/>
      <c r="N139" s="8"/>
      <c r="O139" s="8"/>
      <c r="P139" s="8"/>
      <c r="T139" t="s">
        <v>579</v>
      </c>
    </row>
    <row r="140" spans="1:20" ht="16" x14ac:dyDescent="0.2">
      <c r="A140" t="s">
        <v>56</v>
      </c>
      <c r="B140" s="12">
        <v>2.6205936920222633E-2</v>
      </c>
      <c r="C140" t="s">
        <v>26</v>
      </c>
      <c r="D140" t="s">
        <v>39</v>
      </c>
      <c r="F140" t="s">
        <v>28</v>
      </c>
      <c r="G140" t="s">
        <v>58</v>
      </c>
      <c r="H140" s="2"/>
      <c r="I140" s="2">
        <v>2</v>
      </c>
      <c r="J140">
        <f t="shared" ref="J140:J147" si="10">LN(B140)</f>
        <v>-3.6417692938764925</v>
      </c>
      <c r="K140" s="8">
        <v>1.5</v>
      </c>
      <c r="L140" s="8">
        <v>1.2</v>
      </c>
      <c r="M140" s="8">
        <v>1.5</v>
      </c>
      <c r="N140" s="8">
        <v>1.1000000000000001</v>
      </c>
      <c r="O140" s="8">
        <v>2</v>
      </c>
      <c r="P140" s="8">
        <v>1.2</v>
      </c>
      <c r="Q140">
        <v>1.05</v>
      </c>
      <c r="R140">
        <f t="shared" ref="R140:R147" si="11">LN(SQRT(EXP(
SQRT(
+POWER(LN(K140),2)
+POWER(LN(L140),2)
+POWER(LN(M140),2)
+POWER(LN(N140),2)
+POWER(LN(O140),2)
+POWER(LN(P140),2)
+POWER(LN(Q140),2)
)
)))</f>
        <v>0.47095746419981693</v>
      </c>
    </row>
    <row r="141" spans="1:20" ht="16" x14ac:dyDescent="0.2">
      <c r="A141" t="s">
        <v>42</v>
      </c>
      <c r="B141">
        <v>0.19081632653061226</v>
      </c>
      <c r="C141" t="s">
        <v>33</v>
      </c>
      <c r="D141" t="s">
        <v>27</v>
      </c>
      <c r="F141" t="s">
        <v>28</v>
      </c>
      <c r="G141" t="s">
        <v>43</v>
      </c>
      <c r="H141" s="2"/>
      <c r="I141" s="2">
        <v>2</v>
      </c>
      <c r="J141">
        <f t="shared" si="10"/>
        <v>-1.6564439548100309</v>
      </c>
      <c r="K141" s="8">
        <v>1.5</v>
      </c>
      <c r="L141" s="8">
        <v>1.2</v>
      </c>
      <c r="M141" s="8">
        <v>1.5</v>
      </c>
      <c r="N141" s="8">
        <v>1.1000000000000001</v>
      </c>
      <c r="O141" s="8">
        <v>2</v>
      </c>
      <c r="P141" s="8">
        <v>1.2</v>
      </c>
      <c r="Q141">
        <v>1.05</v>
      </c>
      <c r="R141">
        <f t="shared" si="11"/>
        <v>0.47095746419981693</v>
      </c>
    </row>
    <row r="142" spans="1:20" ht="16" x14ac:dyDescent="0.2">
      <c r="A142" t="s">
        <v>36</v>
      </c>
      <c r="B142">
        <v>0.70204081632653059</v>
      </c>
      <c r="D142" t="s">
        <v>27</v>
      </c>
      <c r="E142" t="s">
        <v>30</v>
      </c>
      <c r="F142" t="s">
        <v>31</v>
      </c>
      <c r="H142" s="2"/>
      <c r="I142" s="2">
        <v>2</v>
      </c>
      <c r="J142">
        <f t="shared" si="10"/>
        <v>-0.35376373373127395</v>
      </c>
      <c r="K142" s="8">
        <v>1.5</v>
      </c>
      <c r="L142" s="8">
        <v>1.2</v>
      </c>
      <c r="M142" s="8">
        <v>1.5</v>
      </c>
      <c r="N142" s="8">
        <v>1.1000000000000001</v>
      </c>
      <c r="O142" s="8">
        <v>2</v>
      </c>
      <c r="P142" s="8">
        <v>1.2</v>
      </c>
      <c r="Q142" s="8">
        <v>1.05</v>
      </c>
      <c r="R142">
        <f t="shared" si="11"/>
        <v>0.47095746419981693</v>
      </c>
    </row>
    <row r="143" spans="1:20" ht="16" x14ac:dyDescent="0.2">
      <c r="A143" t="s">
        <v>592</v>
      </c>
      <c r="B143">
        <v>3.4406307977736557</v>
      </c>
      <c r="D143" t="s">
        <v>27</v>
      </c>
      <c r="E143" t="s">
        <v>30</v>
      </c>
      <c r="F143" t="s">
        <v>31</v>
      </c>
      <c r="H143" s="2"/>
      <c r="I143" s="2">
        <v>2</v>
      </c>
      <c r="J143">
        <f t="shared" si="10"/>
        <v>1.2356548260206486</v>
      </c>
      <c r="K143" s="8">
        <v>1.5</v>
      </c>
      <c r="L143" s="8">
        <v>1.2</v>
      </c>
      <c r="M143" s="8">
        <v>1.5</v>
      </c>
      <c r="N143" s="8">
        <v>1.1000000000000001</v>
      </c>
      <c r="O143" s="8">
        <v>2</v>
      </c>
      <c r="P143" s="8">
        <v>1.2</v>
      </c>
      <c r="Q143" s="8">
        <v>1.5</v>
      </c>
      <c r="R143">
        <f t="shared" si="11"/>
        <v>0.51215847306170115</v>
      </c>
    </row>
    <row r="144" spans="1:20" ht="16" x14ac:dyDescent="0.2">
      <c r="A144" t="s">
        <v>32</v>
      </c>
      <c r="B144">
        <v>9.9907235621521338E-3</v>
      </c>
      <c r="D144" t="s">
        <v>27</v>
      </c>
      <c r="E144" t="s">
        <v>30</v>
      </c>
      <c r="F144" t="s">
        <v>31</v>
      </c>
      <c r="H144" s="2"/>
      <c r="I144" s="2">
        <v>2</v>
      </c>
      <c r="J144">
        <f t="shared" si="10"/>
        <v>-4.6060982603006453</v>
      </c>
      <c r="K144" s="8">
        <v>1.5</v>
      </c>
      <c r="L144" s="8">
        <v>1.2</v>
      </c>
      <c r="M144" s="8">
        <v>1.5</v>
      </c>
      <c r="N144" s="8">
        <v>1.1000000000000001</v>
      </c>
      <c r="O144" s="8">
        <v>2</v>
      </c>
      <c r="P144" s="8">
        <v>1.2</v>
      </c>
      <c r="Q144" s="8">
        <v>1.5</v>
      </c>
      <c r="R144">
        <f t="shared" si="11"/>
        <v>0.51215847306170115</v>
      </c>
    </row>
    <row r="145" spans="1:20" ht="16" x14ac:dyDescent="0.2">
      <c r="A145" t="s">
        <v>580</v>
      </c>
      <c r="B145">
        <f>0.474025974025974/1000</f>
        <v>4.7402597402597401E-4</v>
      </c>
      <c r="D145" t="s">
        <v>512</v>
      </c>
      <c r="E145" t="s">
        <v>30</v>
      </c>
      <c r="F145" t="s">
        <v>31</v>
      </c>
      <c r="H145" s="2"/>
      <c r="I145" s="2">
        <v>2</v>
      </c>
      <c r="J145">
        <f t="shared" si="10"/>
        <v>-7.6542484402473754</v>
      </c>
      <c r="K145" s="8">
        <v>1.5</v>
      </c>
      <c r="L145" s="8">
        <v>1.2</v>
      </c>
      <c r="M145" s="8">
        <v>1.5</v>
      </c>
      <c r="N145" s="8">
        <v>1.1000000000000001</v>
      </c>
      <c r="O145" s="8">
        <v>2</v>
      </c>
      <c r="P145" s="8">
        <v>1.2</v>
      </c>
      <c r="Q145" s="8">
        <v>1.05</v>
      </c>
      <c r="R145">
        <f t="shared" si="11"/>
        <v>0.47095746419981693</v>
      </c>
    </row>
    <row r="146" spans="1:20" ht="16" x14ac:dyDescent="0.2">
      <c r="A146" t="s">
        <v>594</v>
      </c>
      <c r="B146">
        <v>0.98979591836734704</v>
      </c>
      <c r="C146" t="s">
        <v>33</v>
      </c>
      <c r="D146" t="s">
        <v>27</v>
      </c>
      <c r="F146" t="s">
        <v>28</v>
      </c>
      <c r="G146" t="s">
        <v>595</v>
      </c>
      <c r="H146" s="2"/>
      <c r="I146" s="2">
        <v>2</v>
      </c>
      <c r="J146">
        <f t="shared" si="10"/>
        <v>-1.0256500167188997E-2</v>
      </c>
      <c r="K146" s="8">
        <v>1.5</v>
      </c>
      <c r="L146" s="8">
        <v>1.2</v>
      </c>
      <c r="M146" s="8">
        <v>1.5</v>
      </c>
      <c r="N146" s="8">
        <v>1.1000000000000001</v>
      </c>
      <c r="O146" s="8">
        <v>2</v>
      </c>
      <c r="P146" s="8">
        <v>1.2</v>
      </c>
      <c r="Q146">
        <v>1.05</v>
      </c>
      <c r="R146">
        <f t="shared" si="11"/>
        <v>0.47095746419981693</v>
      </c>
    </row>
    <row r="147" spans="1:20" ht="16" x14ac:dyDescent="0.2">
      <c r="A147" t="s">
        <v>511</v>
      </c>
      <c r="B147" s="6">
        <v>9.27643784786642E-2</v>
      </c>
      <c r="C147" t="s">
        <v>26</v>
      </c>
      <c r="D147" t="s">
        <v>512</v>
      </c>
      <c r="F147" t="s">
        <v>28</v>
      </c>
      <c r="G147" t="s">
        <v>513</v>
      </c>
      <c r="H147" s="2"/>
      <c r="I147" s="2">
        <v>2</v>
      </c>
      <c r="J147">
        <f t="shared" si="10"/>
        <v>-2.3776925654808512</v>
      </c>
      <c r="K147" s="8">
        <v>1.5</v>
      </c>
      <c r="L147" s="8">
        <v>1.2</v>
      </c>
      <c r="M147" s="8">
        <v>1.5</v>
      </c>
      <c r="N147" s="8">
        <v>1.1000000000000001</v>
      </c>
      <c r="O147" s="8">
        <v>2</v>
      </c>
      <c r="P147" s="8">
        <v>1.2</v>
      </c>
      <c r="Q147">
        <v>1.05</v>
      </c>
      <c r="R147">
        <f t="shared" si="11"/>
        <v>0.47095746419981693</v>
      </c>
    </row>
    <row r="148" spans="1:20" x14ac:dyDescent="0.2">
      <c r="K148" s="8"/>
      <c r="L148" s="8"/>
      <c r="M148" s="8"/>
      <c r="N148" s="8"/>
      <c r="O148" s="8"/>
      <c r="P148" s="8"/>
    </row>
    <row r="149" spans="1:20" ht="16" x14ac:dyDescent="0.2">
      <c r="A149" s="1" t="s">
        <v>4</v>
      </c>
      <c r="B149" s="1" t="s">
        <v>596</v>
      </c>
      <c r="K149" s="8"/>
      <c r="L149" s="8"/>
      <c r="M149" s="8"/>
      <c r="N149" s="8"/>
      <c r="O149" s="8"/>
      <c r="P149" s="8"/>
    </row>
    <row r="150" spans="1:20" x14ac:dyDescent="0.2">
      <c r="A150" t="s">
        <v>17</v>
      </c>
      <c r="B150" t="s">
        <v>539</v>
      </c>
      <c r="K150" s="8"/>
      <c r="L150" s="8"/>
      <c r="M150" s="8"/>
      <c r="N150" s="8"/>
      <c r="O150" s="8"/>
      <c r="P150" s="8"/>
    </row>
    <row r="151" spans="1:20" x14ac:dyDescent="0.2">
      <c r="A151" t="s">
        <v>13</v>
      </c>
      <c r="B151" t="s">
        <v>517</v>
      </c>
      <c r="K151" s="8"/>
      <c r="L151" s="8"/>
      <c r="M151" s="8"/>
      <c r="N151" s="8"/>
      <c r="O151" s="8"/>
      <c r="P151" s="8"/>
    </row>
    <row r="152" spans="1:20" x14ac:dyDescent="0.2">
      <c r="A152" t="s">
        <v>5</v>
      </c>
      <c r="B152" t="s">
        <v>26</v>
      </c>
      <c r="K152" s="8"/>
      <c r="L152" s="8"/>
      <c r="M152" s="8"/>
      <c r="N152" s="8"/>
      <c r="O152" s="8"/>
      <c r="P152" s="8"/>
    </row>
    <row r="153" spans="1:20" x14ac:dyDescent="0.2">
      <c r="A153" t="s">
        <v>564</v>
      </c>
      <c r="B153" s="9" t="s">
        <v>565</v>
      </c>
    </row>
    <row r="154" spans="1:20" x14ac:dyDescent="0.2">
      <c r="A154" t="s">
        <v>6</v>
      </c>
      <c r="B154">
        <v>1</v>
      </c>
      <c r="K154" s="8"/>
      <c r="L154" s="8"/>
      <c r="M154" s="8"/>
      <c r="N154" s="8"/>
      <c r="O154" s="8"/>
      <c r="P154" s="8"/>
    </row>
    <row r="155" spans="1:20" x14ac:dyDescent="0.2">
      <c r="A155" t="s">
        <v>7</v>
      </c>
      <c r="B155" t="s">
        <v>597</v>
      </c>
      <c r="K155" s="8"/>
      <c r="L155" s="8"/>
      <c r="M155" s="8"/>
      <c r="N155" s="8"/>
      <c r="O155" s="8"/>
      <c r="P155" s="8"/>
    </row>
    <row r="156" spans="1:20" x14ac:dyDescent="0.2">
      <c r="A156" t="s">
        <v>10</v>
      </c>
      <c r="B156" t="s">
        <v>27</v>
      </c>
      <c r="K156" s="8"/>
      <c r="L156" s="8"/>
      <c r="M156" s="8"/>
      <c r="N156" s="8"/>
      <c r="O156" s="8"/>
      <c r="P156" s="8"/>
    </row>
    <row r="157" spans="1:20" ht="16" x14ac:dyDescent="0.2">
      <c r="A157" s="1" t="s">
        <v>18</v>
      </c>
      <c r="K157" s="8"/>
      <c r="L157" s="8"/>
      <c r="M157" s="8"/>
      <c r="N157" s="8"/>
      <c r="O157" s="8"/>
      <c r="P157" s="8"/>
    </row>
    <row r="158" spans="1:20" ht="16" x14ac:dyDescent="0.2">
      <c r="A158" s="1" t="s">
        <v>19</v>
      </c>
      <c r="B158" s="1" t="s">
        <v>20</v>
      </c>
      <c r="C158" s="1" t="s">
        <v>5</v>
      </c>
      <c r="D158" s="1" t="s">
        <v>10</v>
      </c>
      <c r="E158" s="1" t="s">
        <v>22</v>
      </c>
      <c r="F158" s="1" t="s">
        <v>8</v>
      </c>
      <c r="G158" s="1" t="s">
        <v>7</v>
      </c>
      <c r="H158" s="10" t="s">
        <v>17</v>
      </c>
      <c r="I158" s="10" t="s">
        <v>567</v>
      </c>
      <c r="J158" s="1" t="s">
        <v>568</v>
      </c>
      <c r="K158" s="11" t="s">
        <v>569</v>
      </c>
      <c r="L158" s="11" t="s">
        <v>570</v>
      </c>
      <c r="M158" s="11" t="s">
        <v>571</v>
      </c>
      <c r="N158" s="11" t="s">
        <v>572</v>
      </c>
      <c r="O158" s="11" t="s">
        <v>573</v>
      </c>
      <c r="P158" s="11" t="s">
        <v>574</v>
      </c>
      <c r="Q158" s="1" t="s">
        <v>575</v>
      </c>
      <c r="R158" s="1" t="s">
        <v>576</v>
      </c>
      <c r="S158" s="10" t="s">
        <v>577</v>
      </c>
      <c r="T158" s="1" t="s">
        <v>578</v>
      </c>
    </row>
    <row r="159" spans="1:20" ht="16" x14ac:dyDescent="0.2">
      <c r="A159" t="str">
        <f>B149</f>
        <v>carbon fiber production, fiber stabilization, carbonization, electrolysis and washing</v>
      </c>
      <c r="B159">
        <v>1</v>
      </c>
      <c r="C159" t="s">
        <v>26</v>
      </c>
      <c r="D159" t="s">
        <v>27</v>
      </c>
      <c r="E159" s="2"/>
      <c r="F159" t="s">
        <v>24</v>
      </c>
      <c r="G159" t="str">
        <f>B155</f>
        <v>carbon fiber, washed</v>
      </c>
      <c r="H159" s="2"/>
      <c r="I159" s="2"/>
      <c r="K159" s="8"/>
      <c r="L159" s="8"/>
      <c r="M159" s="8"/>
      <c r="N159" s="8"/>
      <c r="O159" s="8"/>
      <c r="P159" s="8"/>
      <c r="T159" t="s">
        <v>579</v>
      </c>
    </row>
    <row r="160" spans="1:20" ht="16" x14ac:dyDescent="0.2">
      <c r="A160" t="s">
        <v>511</v>
      </c>
      <c r="B160" s="6">
        <v>4.888278388278388E-3</v>
      </c>
      <c r="C160" t="s">
        <v>26</v>
      </c>
      <c r="D160" t="s">
        <v>512</v>
      </c>
      <c r="E160" s="2"/>
      <c r="F160" t="s">
        <v>28</v>
      </c>
      <c r="G160" t="s">
        <v>513</v>
      </c>
      <c r="H160" s="2"/>
      <c r="I160" s="2">
        <v>2</v>
      </c>
      <c r="J160">
        <f t="shared" ref="J160:J182" si="12">LN(B160)</f>
        <v>-5.3209151053225181</v>
      </c>
      <c r="K160" s="8">
        <v>1.5</v>
      </c>
      <c r="L160" s="8">
        <v>1.2</v>
      </c>
      <c r="M160" s="8">
        <v>1.5</v>
      </c>
      <c r="N160" s="8">
        <v>1.1000000000000001</v>
      </c>
      <c r="O160" s="8">
        <v>2</v>
      </c>
      <c r="P160" s="8">
        <v>1.2</v>
      </c>
      <c r="Q160">
        <v>1.05</v>
      </c>
      <c r="R160">
        <f t="shared" ref="R160:R182" si="13">LN(SQRT(EXP(
SQRT(
+POWER(LN(K160),2)
+POWER(LN(L160),2)
+POWER(LN(M160),2)
+POWER(LN(N160),2)
+POWER(LN(O160),2)
+POWER(LN(P160),2)
+POWER(LN(Q160),2)
)
)))</f>
        <v>0.47095746419981693</v>
      </c>
    </row>
    <row r="161" spans="1:18" ht="16" x14ac:dyDescent="0.2">
      <c r="A161" t="s">
        <v>56</v>
      </c>
      <c r="B161" s="12">
        <v>4.3681318681318679E-2</v>
      </c>
      <c r="C161" t="s">
        <v>26</v>
      </c>
      <c r="D161" t="s">
        <v>39</v>
      </c>
      <c r="E161" s="2"/>
      <c r="F161" t="s">
        <v>28</v>
      </c>
      <c r="G161" t="s">
        <v>58</v>
      </c>
      <c r="H161" s="2"/>
      <c r="I161" s="2">
        <v>2</v>
      </c>
      <c r="J161">
        <f t="shared" si="12"/>
        <v>-3.1308347584105549</v>
      </c>
      <c r="K161" s="8">
        <v>1.5</v>
      </c>
      <c r="L161" s="8">
        <v>1.2</v>
      </c>
      <c r="M161" s="8">
        <v>1.5</v>
      </c>
      <c r="N161" s="8">
        <v>1.1000000000000001</v>
      </c>
      <c r="O161" s="8">
        <v>2</v>
      </c>
      <c r="P161" s="8">
        <v>1.2</v>
      </c>
      <c r="Q161">
        <v>1.05</v>
      </c>
      <c r="R161">
        <f t="shared" si="13"/>
        <v>0.47095746419981693</v>
      </c>
    </row>
    <row r="162" spans="1:18" ht="16" x14ac:dyDescent="0.2">
      <c r="A162" t="s">
        <v>598</v>
      </c>
      <c r="B162">
        <v>0.4495421245421245</v>
      </c>
      <c r="C162" t="s">
        <v>35</v>
      </c>
      <c r="D162" t="s">
        <v>27</v>
      </c>
      <c r="E162" s="2"/>
      <c r="F162" t="s">
        <v>28</v>
      </c>
      <c r="G162" t="s">
        <v>599</v>
      </c>
      <c r="H162" s="2"/>
      <c r="I162" s="2">
        <v>2</v>
      </c>
      <c r="J162">
        <f t="shared" si="12"/>
        <v>-0.79952571524084359</v>
      </c>
      <c r="K162" s="8">
        <v>1.5</v>
      </c>
      <c r="L162" s="8">
        <v>1.2</v>
      </c>
      <c r="M162" s="8">
        <v>1.5</v>
      </c>
      <c r="N162" s="8">
        <v>1.1000000000000001</v>
      </c>
      <c r="O162" s="8">
        <v>2</v>
      </c>
      <c r="P162" s="8">
        <v>1.2</v>
      </c>
      <c r="Q162">
        <v>1.05</v>
      </c>
      <c r="R162">
        <f t="shared" si="13"/>
        <v>0.47095746419981693</v>
      </c>
    </row>
    <row r="163" spans="1:18" ht="16" x14ac:dyDescent="0.2">
      <c r="A163" t="s">
        <v>600</v>
      </c>
      <c r="B163" s="6">
        <v>1.8424908424908421E-2</v>
      </c>
      <c r="C163" t="s">
        <v>26</v>
      </c>
      <c r="D163" t="s">
        <v>27</v>
      </c>
      <c r="E163" s="13"/>
      <c r="F163" t="s">
        <v>28</v>
      </c>
      <c r="G163" t="s">
        <v>601</v>
      </c>
      <c r="H163" s="2"/>
      <c r="I163" s="2">
        <v>2</v>
      </c>
      <c r="J163">
        <f t="shared" si="12"/>
        <v>-3.9940518110733123</v>
      </c>
      <c r="K163" s="8">
        <v>1.5</v>
      </c>
      <c r="L163" s="8">
        <v>1.2</v>
      </c>
      <c r="M163" s="8">
        <v>1.5</v>
      </c>
      <c r="N163" s="8">
        <v>1.1000000000000001</v>
      </c>
      <c r="O163" s="8">
        <v>2</v>
      </c>
      <c r="P163" s="8">
        <v>1.2</v>
      </c>
      <c r="Q163">
        <v>1.05</v>
      </c>
      <c r="R163">
        <f t="shared" si="13"/>
        <v>0.47095746419981693</v>
      </c>
    </row>
    <row r="164" spans="1:18" ht="16" x14ac:dyDescent="0.2">
      <c r="A164" t="s">
        <v>511</v>
      </c>
      <c r="B164" s="6">
        <v>2.683150183150183E-3</v>
      </c>
      <c r="C164" t="s">
        <v>26</v>
      </c>
      <c r="D164" t="s">
        <v>512</v>
      </c>
      <c r="E164" s="13"/>
      <c r="F164" t="s">
        <v>28</v>
      </c>
      <c r="G164" t="s">
        <v>513</v>
      </c>
      <c r="H164" s="2"/>
      <c r="I164" s="2">
        <v>2</v>
      </c>
      <c r="J164">
        <f t="shared" si="12"/>
        <v>-5.9207637332758747</v>
      </c>
      <c r="K164" s="8">
        <v>1.5</v>
      </c>
      <c r="L164" s="8">
        <v>1.2</v>
      </c>
      <c r="M164" s="8">
        <v>1.5</v>
      </c>
      <c r="N164" s="8">
        <v>1.1000000000000001</v>
      </c>
      <c r="O164" s="8">
        <v>2</v>
      </c>
      <c r="P164" s="8">
        <v>1.2</v>
      </c>
      <c r="Q164">
        <v>1.05</v>
      </c>
      <c r="R164">
        <f t="shared" si="13"/>
        <v>0.47095746419981693</v>
      </c>
    </row>
    <row r="165" spans="1:18" ht="16" x14ac:dyDescent="0.2">
      <c r="A165" t="s">
        <v>56</v>
      </c>
      <c r="B165" s="12">
        <v>0.19386446886446887</v>
      </c>
      <c r="C165" t="s">
        <v>26</v>
      </c>
      <c r="D165" t="s">
        <v>39</v>
      </c>
      <c r="E165" s="13"/>
      <c r="F165" t="s">
        <v>28</v>
      </c>
      <c r="G165" t="s">
        <v>58</v>
      </c>
      <c r="H165" s="2"/>
      <c r="I165" s="2">
        <v>2</v>
      </c>
      <c r="J165">
        <f t="shared" si="12"/>
        <v>-1.6405959781640309</v>
      </c>
      <c r="K165" s="8">
        <v>1.5</v>
      </c>
      <c r="L165" s="8">
        <v>1.2</v>
      </c>
      <c r="M165" s="8">
        <v>1.5</v>
      </c>
      <c r="N165" s="8">
        <v>1.1000000000000001</v>
      </c>
      <c r="O165" s="8">
        <v>2</v>
      </c>
      <c r="P165" s="8">
        <v>1.2</v>
      </c>
      <c r="Q165">
        <v>1.05</v>
      </c>
      <c r="R165">
        <f t="shared" si="13"/>
        <v>0.47095746419981693</v>
      </c>
    </row>
    <row r="166" spans="1:18" ht="16" x14ac:dyDescent="0.2">
      <c r="A166" t="s">
        <v>557</v>
      </c>
      <c r="B166" s="6">
        <v>1.6419413919413917E-4</v>
      </c>
      <c r="C166" t="s">
        <v>26</v>
      </c>
      <c r="D166" t="s">
        <v>27</v>
      </c>
      <c r="E166" s="13"/>
      <c r="F166" t="s">
        <v>28</v>
      </c>
      <c r="G166" t="s">
        <v>558</v>
      </c>
      <c r="H166" s="2"/>
      <c r="I166" s="2">
        <v>2</v>
      </c>
      <c r="J166">
        <f t="shared" si="12"/>
        <v>-8.7144610546759012</v>
      </c>
      <c r="K166" s="8">
        <v>1.5</v>
      </c>
      <c r="L166" s="8">
        <v>1.2</v>
      </c>
      <c r="M166" s="8">
        <v>1.5</v>
      </c>
      <c r="N166" s="8">
        <v>1.1000000000000001</v>
      </c>
      <c r="O166" s="8">
        <v>2</v>
      </c>
      <c r="P166" s="8">
        <v>1.2</v>
      </c>
      <c r="Q166">
        <v>1.05</v>
      </c>
      <c r="R166">
        <f t="shared" si="13"/>
        <v>0.47095746419981693</v>
      </c>
    </row>
    <row r="167" spans="1:18" ht="16" x14ac:dyDescent="0.2">
      <c r="A167" t="s">
        <v>551</v>
      </c>
      <c r="B167" s="6">
        <v>8.1135531135531134E-5</v>
      </c>
      <c r="C167" t="s">
        <v>35</v>
      </c>
      <c r="D167" t="s">
        <v>27</v>
      </c>
      <c r="E167" s="13"/>
      <c r="F167" t="s">
        <v>28</v>
      </c>
      <c r="G167" t="s">
        <v>552</v>
      </c>
      <c r="H167" s="2"/>
      <c r="I167" s="2">
        <v>2</v>
      </c>
      <c r="J167">
        <f t="shared" si="12"/>
        <v>-9.4193895776759522</v>
      </c>
      <c r="K167" s="8">
        <v>1.5</v>
      </c>
      <c r="L167" s="8">
        <v>1.2</v>
      </c>
      <c r="M167" s="8">
        <v>1.5</v>
      </c>
      <c r="N167" s="8">
        <v>1.1000000000000001</v>
      </c>
      <c r="O167" s="8">
        <v>2</v>
      </c>
      <c r="P167" s="8">
        <v>1.2</v>
      </c>
      <c r="Q167">
        <v>1.05</v>
      </c>
      <c r="R167">
        <f t="shared" si="13"/>
        <v>0.47095746419981693</v>
      </c>
    </row>
    <row r="168" spans="1:18" ht="16" x14ac:dyDescent="0.2">
      <c r="A168" t="s">
        <v>598</v>
      </c>
      <c r="B168">
        <v>0.16144688644688646</v>
      </c>
      <c r="C168" t="s">
        <v>35</v>
      </c>
      <c r="D168" t="s">
        <v>27</v>
      </c>
      <c r="E168" s="13"/>
      <c r="F168" t="s">
        <v>28</v>
      </c>
      <c r="G168" t="s">
        <v>599</v>
      </c>
      <c r="H168" s="2"/>
      <c r="I168" s="2">
        <v>2</v>
      </c>
      <c r="J168">
        <f t="shared" si="12"/>
        <v>-1.8235790669010257</v>
      </c>
      <c r="K168" s="8">
        <v>1.5</v>
      </c>
      <c r="L168" s="8">
        <v>1.2</v>
      </c>
      <c r="M168" s="8">
        <v>1.5</v>
      </c>
      <c r="N168" s="8">
        <v>1.1000000000000001</v>
      </c>
      <c r="O168" s="8">
        <v>2</v>
      </c>
      <c r="P168" s="8">
        <v>1.2</v>
      </c>
      <c r="Q168">
        <v>1.05</v>
      </c>
      <c r="R168">
        <f t="shared" si="13"/>
        <v>0.47095746419981693</v>
      </c>
    </row>
    <row r="169" spans="1:18" ht="16" x14ac:dyDescent="0.2">
      <c r="A169" t="s">
        <v>56</v>
      </c>
      <c r="B169" s="12">
        <v>7.2656460622710606</v>
      </c>
      <c r="C169" t="s">
        <v>26</v>
      </c>
      <c r="D169" t="s">
        <v>39</v>
      </c>
      <c r="E169" s="13"/>
      <c r="F169" t="s">
        <v>28</v>
      </c>
      <c r="G169" t="s">
        <v>58</v>
      </c>
      <c r="H169" s="2"/>
      <c r="I169" s="2">
        <v>2</v>
      </c>
      <c r="J169">
        <f t="shared" si="12"/>
        <v>1.9831572211167039</v>
      </c>
      <c r="K169" s="8">
        <v>1.5</v>
      </c>
      <c r="L169" s="8">
        <v>1.2</v>
      </c>
      <c r="M169" s="8">
        <v>1.5</v>
      </c>
      <c r="N169" s="8">
        <v>1.1000000000000001</v>
      </c>
      <c r="O169" s="8">
        <v>2</v>
      </c>
      <c r="P169" s="8">
        <v>1.2</v>
      </c>
      <c r="Q169">
        <v>1.05</v>
      </c>
      <c r="R169">
        <f t="shared" si="13"/>
        <v>0.47095746419981693</v>
      </c>
    </row>
    <row r="170" spans="1:18" ht="16" x14ac:dyDescent="0.2">
      <c r="A170" t="s">
        <v>557</v>
      </c>
      <c r="B170" s="6">
        <v>6.7643804945054942E-3</v>
      </c>
      <c r="C170" t="s">
        <v>26</v>
      </c>
      <c r="D170" t="s">
        <v>27</v>
      </c>
      <c r="E170" s="13"/>
      <c r="F170" t="s">
        <v>28</v>
      </c>
      <c r="G170" t="s">
        <v>558</v>
      </c>
      <c r="H170" s="2"/>
      <c r="I170" s="2">
        <v>2</v>
      </c>
      <c r="J170">
        <f t="shared" si="12"/>
        <v>-4.9960845966442156</v>
      </c>
      <c r="K170" s="8">
        <v>1.5</v>
      </c>
      <c r="L170" s="8">
        <v>1.2</v>
      </c>
      <c r="M170" s="8">
        <v>1.5</v>
      </c>
      <c r="N170" s="8">
        <v>1.1000000000000001</v>
      </c>
      <c r="O170" s="8">
        <v>2</v>
      </c>
      <c r="P170" s="8">
        <v>1.2</v>
      </c>
      <c r="Q170">
        <v>1.05</v>
      </c>
      <c r="R170">
        <f t="shared" si="13"/>
        <v>0.47095746419981693</v>
      </c>
    </row>
    <row r="171" spans="1:18" ht="16" x14ac:dyDescent="0.2">
      <c r="A171" t="s">
        <v>559</v>
      </c>
      <c r="B171" s="7">
        <v>2.116855311355311</v>
      </c>
      <c r="C171" t="s">
        <v>26</v>
      </c>
      <c r="D171" t="s">
        <v>27</v>
      </c>
      <c r="E171" s="13"/>
      <c r="F171" t="s">
        <v>28</v>
      </c>
      <c r="G171" t="s">
        <v>560</v>
      </c>
      <c r="H171" s="2"/>
      <c r="I171" s="2">
        <v>2</v>
      </c>
      <c r="J171">
        <f t="shared" si="12"/>
        <v>0.74993164374017973</v>
      </c>
      <c r="K171" s="8">
        <v>1.5</v>
      </c>
      <c r="L171" s="8">
        <v>1.2</v>
      </c>
      <c r="M171" s="8">
        <v>1.5</v>
      </c>
      <c r="N171" s="8">
        <v>1.1000000000000001</v>
      </c>
      <c r="O171" s="8">
        <v>2</v>
      </c>
      <c r="P171" s="8">
        <v>1.2</v>
      </c>
      <c r="Q171">
        <v>1.05</v>
      </c>
      <c r="R171">
        <f t="shared" si="13"/>
        <v>0.47095746419981693</v>
      </c>
    </row>
    <row r="172" spans="1:18" ht="16" x14ac:dyDescent="0.2">
      <c r="A172" t="s">
        <v>593</v>
      </c>
      <c r="B172">
        <v>2.6253333333333329</v>
      </c>
      <c r="C172" t="s">
        <v>26</v>
      </c>
      <c r="D172" t="s">
        <v>27</v>
      </c>
      <c r="E172" s="13"/>
      <c r="F172" t="s">
        <v>28</v>
      </c>
      <c r="G172" t="s">
        <v>593</v>
      </c>
      <c r="H172" s="2"/>
      <c r="I172" s="2">
        <v>2</v>
      </c>
      <c r="J172">
        <f t="shared" si="12"/>
        <v>0.96520787210876924</v>
      </c>
      <c r="K172" s="8">
        <v>1.5</v>
      </c>
      <c r="L172" s="8">
        <v>1.2</v>
      </c>
      <c r="M172" s="8">
        <v>1.5</v>
      </c>
      <c r="N172" s="8">
        <v>1.1000000000000001</v>
      </c>
      <c r="O172" s="8">
        <v>2</v>
      </c>
      <c r="P172" s="8">
        <v>1.2</v>
      </c>
      <c r="Q172">
        <v>1.05</v>
      </c>
      <c r="R172">
        <f t="shared" si="13"/>
        <v>0.47095746419981693</v>
      </c>
    </row>
    <row r="173" spans="1:18" ht="16" x14ac:dyDescent="0.2">
      <c r="A173" t="s">
        <v>56</v>
      </c>
      <c r="B173" s="12">
        <v>3.7558855311355308</v>
      </c>
      <c r="C173" t="s">
        <v>26</v>
      </c>
      <c r="D173" t="s">
        <v>39</v>
      </c>
      <c r="E173" s="13"/>
      <c r="F173" t="s">
        <v>28</v>
      </c>
      <c r="G173" t="s">
        <v>58</v>
      </c>
      <c r="H173" s="2"/>
      <c r="I173" s="2">
        <v>2</v>
      </c>
      <c r="J173">
        <f t="shared" si="12"/>
        <v>1.32332408461311</v>
      </c>
      <c r="K173" s="8">
        <v>1.5</v>
      </c>
      <c r="L173" s="8">
        <v>1.2</v>
      </c>
      <c r="M173" s="8">
        <v>1.5</v>
      </c>
      <c r="N173" s="8">
        <v>1.1000000000000001</v>
      </c>
      <c r="O173" s="8">
        <v>2</v>
      </c>
      <c r="P173" s="8">
        <v>1.2</v>
      </c>
      <c r="Q173">
        <v>1.05</v>
      </c>
      <c r="R173">
        <f t="shared" si="13"/>
        <v>0.47095746419981693</v>
      </c>
    </row>
    <row r="174" spans="1:18" ht="16" x14ac:dyDescent="0.2">
      <c r="A174" t="s">
        <v>557</v>
      </c>
      <c r="B174" s="6">
        <v>7.0528786630036627E-4</v>
      </c>
      <c r="C174" t="s">
        <v>26</v>
      </c>
      <c r="D174" t="s">
        <v>27</v>
      </c>
      <c r="E174" s="13"/>
      <c r="F174" t="s">
        <v>28</v>
      </c>
      <c r="G174" t="s">
        <v>558</v>
      </c>
      <c r="H174" s="2"/>
      <c r="I174" s="2">
        <v>2</v>
      </c>
      <c r="J174">
        <f t="shared" si="12"/>
        <v>-7.2569045174989091</v>
      </c>
      <c r="K174" s="8">
        <v>1.5</v>
      </c>
      <c r="L174" s="8">
        <v>1.2</v>
      </c>
      <c r="M174" s="8">
        <v>1.5</v>
      </c>
      <c r="N174" s="8">
        <v>1.1000000000000001</v>
      </c>
      <c r="O174" s="8">
        <v>2</v>
      </c>
      <c r="P174" s="8">
        <v>1.2</v>
      </c>
      <c r="Q174">
        <v>1.05</v>
      </c>
      <c r="R174">
        <f t="shared" si="13"/>
        <v>0.47095746419981693</v>
      </c>
    </row>
    <row r="175" spans="1:18" ht="16" x14ac:dyDescent="0.2">
      <c r="A175" t="s">
        <v>559</v>
      </c>
      <c r="B175" s="7">
        <v>5.9619949633699632</v>
      </c>
      <c r="C175" t="s">
        <v>26</v>
      </c>
      <c r="D175" t="s">
        <v>27</v>
      </c>
      <c r="E175" s="13"/>
      <c r="F175" t="s">
        <v>28</v>
      </c>
      <c r="G175" t="s">
        <v>560</v>
      </c>
      <c r="H175" s="2"/>
      <c r="I175" s="2">
        <v>2</v>
      </c>
      <c r="J175">
        <f t="shared" si="12"/>
        <v>1.7854051504668551</v>
      </c>
      <c r="K175" s="8">
        <v>1.5</v>
      </c>
      <c r="L175" s="8">
        <v>1.2</v>
      </c>
      <c r="M175" s="8">
        <v>1.5</v>
      </c>
      <c r="N175" s="8">
        <v>1.1000000000000001</v>
      </c>
      <c r="O175" s="8">
        <v>2</v>
      </c>
      <c r="P175" s="8">
        <v>1.2</v>
      </c>
      <c r="Q175">
        <v>1.05</v>
      </c>
      <c r="R175">
        <f t="shared" si="13"/>
        <v>0.47095746419981693</v>
      </c>
    </row>
    <row r="176" spans="1:18" ht="16" x14ac:dyDescent="0.2">
      <c r="A176" t="s">
        <v>542</v>
      </c>
      <c r="B176" s="7">
        <v>4.6509024148351559</v>
      </c>
      <c r="C176" t="s">
        <v>26</v>
      </c>
      <c r="D176" t="s">
        <v>543</v>
      </c>
      <c r="E176" s="13"/>
      <c r="F176" t="s">
        <v>28</v>
      </c>
      <c r="G176" t="s">
        <v>544</v>
      </c>
      <c r="H176" s="2"/>
      <c r="I176" s="2">
        <v>2</v>
      </c>
      <c r="J176">
        <f t="shared" si="12"/>
        <v>1.5370612684770488</v>
      </c>
      <c r="K176" s="8">
        <v>1.5</v>
      </c>
      <c r="L176" s="8">
        <v>1.2</v>
      </c>
      <c r="M176" s="8">
        <v>1.5</v>
      </c>
      <c r="N176" s="8">
        <v>1.1000000000000001</v>
      </c>
      <c r="O176" s="8">
        <v>2</v>
      </c>
      <c r="P176" s="8">
        <v>1.2</v>
      </c>
      <c r="Q176">
        <v>1.05</v>
      </c>
      <c r="R176">
        <f t="shared" si="13"/>
        <v>0.47095746419981693</v>
      </c>
    </row>
    <row r="177" spans="1:18" ht="16" x14ac:dyDescent="0.2">
      <c r="A177" t="s">
        <v>593</v>
      </c>
      <c r="B177">
        <v>7.0907440476190473</v>
      </c>
      <c r="C177" t="s">
        <v>26</v>
      </c>
      <c r="D177" t="s">
        <v>27</v>
      </c>
      <c r="E177" s="13"/>
      <c r="F177" t="s">
        <v>28</v>
      </c>
      <c r="G177" t="s">
        <v>593</v>
      </c>
      <c r="H177" s="2"/>
      <c r="I177" s="2">
        <v>2</v>
      </c>
      <c r="J177">
        <f t="shared" si="12"/>
        <v>1.958790278284571</v>
      </c>
      <c r="K177" s="8">
        <v>1.5</v>
      </c>
      <c r="L177" s="8">
        <v>1.2</v>
      </c>
      <c r="M177" s="8">
        <v>1.5</v>
      </c>
      <c r="N177" s="8">
        <v>1.1000000000000001</v>
      </c>
      <c r="O177" s="8">
        <v>2</v>
      </c>
      <c r="P177" s="8">
        <v>1.2</v>
      </c>
      <c r="Q177">
        <v>1.05</v>
      </c>
      <c r="R177">
        <f t="shared" si="13"/>
        <v>0.47095746419981693</v>
      </c>
    </row>
    <row r="178" spans="1:18" ht="16" x14ac:dyDescent="0.2">
      <c r="A178" t="s">
        <v>511</v>
      </c>
      <c r="B178" s="6">
        <v>0.1721071886446886</v>
      </c>
      <c r="C178" t="s">
        <v>26</v>
      </c>
      <c r="D178" t="s">
        <v>512</v>
      </c>
      <c r="E178" s="13"/>
      <c r="F178" t="s">
        <v>28</v>
      </c>
      <c r="G178" t="s">
        <v>513</v>
      </c>
      <c r="H178" s="2"/>
      <c r="I178" s="2">
        <v>2</v>
      </c>
      <c r="J178">
        <f t="shared" si="12"/>
        <v>-1.7596378064761056</v>
      </c>
      <c r="K178" s="8">
        <v>1.5</v>
      </c>
      <c r="L178" s="8">
        <v>1.2</v>
      </c>
      <c r="M178" s="8">
        <v>1.5</v>
      </c>
      <c r="N178" s="8">
        <v>1.1000000000000001</v>
      </c>
      <c r="O178" s="8">
        <v>2</v>
      </c>
      <c r="P178" s="8">
        <v>1.2</v>
      </c>
      <c r="Q178">
        <v>1.05</v>
      </c>
      <c r="R178">
        <f t="shared" si="13"/>
        <v>0.47095746419981693</v>
      </c>
    </row>
    <row r="179" spans="1:18" ht="16" x14ac:dyDescent="0.2">
      <c r="A179" t="s">
        <v>56</v>
      </c>
      <c r="B179" s="12">
        <v>16.967298534798534</v>
      </c>
      <c r="C179" t="s">
        <v>26</v>
      </c>
      <c r="D179" t="s">
        <v>39</v>
      </c>
      <c r="E179" s="13"/>
      <c r="F179" t="s">
        <v>28</v>
      </c>
      <c r="G179" t="s">
        <v>58</v>
      </c>
      <c r="H179" s="2"/>
      <c r="I179" s="2">
        <v>2</v>
      </c>
      <c r="J179">
        <f t="shared" si="12"/>
        <v>2.8312878759315634</v>
      </c>
      <c r="K179" s="8">
        <v>1.5</v>
      </c>
      <c r="L179" s="8">
        <v>1.2</v>
      </c>
      <c r="M179" s="8">
        <v>1.5</v>
      </c>
      <c r="N179" s="8">
        <v>1.1000000000000001</v>
      </c>
      <c r="O179" s="8">
        <v>2</v>
      </c>
      <c r="P179" s="8">
        <v>1.2</v>
      </c>
      <c r="Q179">
        <v>1.05</v>
      </c>
      <c r="R179">
        <f t="shared" si="13"/>
        <v>0.47095746419981693</v>
      </c>
    </row>
    <row r="180" spans="1:18" ht="16" x14ac:dyDescent="0.2">
      <c r="A180" t="s">
        <v>42</v>
      </c>
      <c r="B180">
        <v>0.19834249084249084</v>
      </c>
      <c r="C180" t="s">
        <v>33</v>
      </c>
      <c r="D180" t="s">
        <v>27</v>
      </c>
      <c r="E180" s="13"/>
      <c r="F180" t="s">
        <v>28</v>
      </c>
      <c r="G180" t="s">
        <v>43</v>
      </c>
      <c r="H180" s="2"/>
      <c r="I180" s="2">
        <v>2</v>
      </c>
      <c r="J180">
        <f t="shared" si="12"/>
        <v>-1.6177599908554456</v>
      </c>
      <c r="K180" s="8">
        <v>1.5</v>
      </c>
      <c r="L180" s="8">
        <v>1.2</v>
      </c>
      <c r="M180" s="8">
        <v>1.5</v>
      </c>
      <c r="N180" s="8">
        <v>1.1000000000000001</v>
      </c>
      <c r="O180" s="8">
        <v>2</v>
      </c>
      <c r="P180" s="8">
        <v>1.2</v>
      </c>
      <c r="Q180">
        <v>1.05</v>
      </c>
      <c r="R180">
        <f t="shared" si="13"/>
        <v>0.47095746419981693</v>
      </c>
    </row>
    <row r="181" spans="1:18" ht="16" x14ac:dyDescent="0.2">
      <c r="A181" t="s">
        <v>589</v>
      </c>
      <c r="B181">
        <v>2.5063278388278381</v>
      </c>
      <c r="C181" t="s">
        <v>26</v>
      </c>
      <c r="D181" t="s">
        <v>27</v>
      </c>
      <c r="E181" s="13"/>
      <c r="F181" t="s">
        <v>28</v>
      </c>
      <c r="G181" t="str">
        <f>G104</f>
        <v>carbon fiber, unwound</v>
      </c>
      <c r="H181" s="2"/>
      <c r="I181" s="2">
        <v>2</v>
      </c>
      <c r="J181">
        <f t="shared" si="12"/>
        <v>0.91881866947687529</v>
      </c>
      <c r="K181" s="8">
        <v>1.5</v>
      </c>
      <c r="L181" s="8">
        <v>1.2</v>
      </c>
      <c r="M181" s="8">
        <v>1.5</v>
      </c>
      <c r="N181" s="8">
        <v>1.1000000000000001</v>
      </c>
      <c r="O181" s="8">
        <v>2</v>
      </c>
      <c r="P181" s="8">
        <v>1.2</v>
      </c>
      <c r="Q181">
        <v>1.05</v>
      </c>
      <c r="R181">
        <f t="shared" si="13"/>
        <v>0.47095746419981693</v>
      </c>
    </row>
    <row r="182" spans="1:18" ht="16" x14ac:dyDescent="0.2">
      <c r="A182" t="s">
        <v>591</v>
      </c>
      <c r="B182">
        <v>33.195320512820516</v>
      </c>
      <c r="C182" t="s">
        <v>26</v>
      </c>
      <c r="D182" t="s">
        <v>27</v>
      </c>
      <c r="E182" s="13"/>
      <c r="F182" t="s">
        <v>28</v>
      </c>
      <c r="G182" t="s">
        <v>591</v>
      </c>
      <c r="H182" s="2"/>
      <c r="I182" s="2">
        <v>2</v>
      </c>
      <c r="J182">
        <f t="shared" si="12"/>
        <v>3.5024089175792619</v>
      </c>
      <c r="K182" s="8">
        <v>1.5</v>
      </c>
      <c r="L182" s="8">
        <v>1.2</v>
      </c>
      <c r="M182" s="8">
        <v>1.5</v>
      </c>
      <c r="N182" s="8">
        <v>1.1000000000000001</v>
      </c>
      <c r="O182" s="8">
        <v>2</v>
      </c>
      <c r="P182" s="8">
        <v>1.2</v>
      </c>
      <c r="Q182">
        <v>1.05</v>
      </c>
      <c r="R182">
        <f t="shared" si="13"/>
        <v>0.47095746419981693</v>
      </c>
    </row>
    <row r="183" spans="1:18" x14ac:dyDescent="0.2">
      <c r="K183" s="8"/>
      <c r="L183" s="8"/>
      <c r="M183" s="8"/>
      <c r="N183" s="8"/>
      <c r="O183" s="8"/>
      <c r="P183" s="8"/>
    </row>
    <row r="184" spans="1:18" ht="16" x14ac:dyDescent="0.2">
      <c r="A184" s="1" t="s">
        <v>4</v>
      </c>
      <c r="B184" s="1" t="s">
        <v>602</v>
      </c>
      <c r="K184" s="8"/>
      <c r="L184" s="8"/>
      <c r="M184" s="8"/>
      <c r="N184" s="8"/>
      <c r="O184" s="8"/>
      <c r="P184" s="8"/>
    </row>
    <row r="185" spans="1:18" x14ac:dyDescent="0.2">
      <c r="A185" t="s">
        <v>17</v>
      </c>
      <c r="B185" t="s">
        <v>539</v>
      </c>
      <c r="K185" s="8"/>
      <c r="L185" s="8"/>
      <c r="M185" s="8"/>
      <c r="N185" s="8"/>
      <c r="O185" s="8"/>
      <c r="P185" s="8"/>
    </row>
    <row r="186" spans="1:18" x14ac:dyDescent="0.2">
      <c r="A186" t="s">
        <v>13</v>
      </c>
      <c r="B186" t="s">
        <v>517</v>
      </c>
      <c r="K186" s="8"/>
      <c r="L186" s="8"/>
      <c r="M186" s="8"/>
      <c r="N186" s="8"/>
      <c r="O186" s="8"/>
      <c r="P186" s="8"/>
    </row>
    <row r="187" spans="1:18" x14ac:dyDescent="0.2">
      <c r="A187" t="s">
        <v>5</v>
      </c>
      <c r="B187" t="s">
        <v>26</v>
      </c>
      <c r="K187" s="8"/>
      <c r="L187" s="8"/>
      <c r="M187" s="8"/>
      <c r="N187" s="8"/>
      <c r="O187" s="8"/>
      <c r="P187" s="8"/>
    </row>
    <row r="188" spans="1:18" x14ac:dyDescent="0.2">
      <c r="A188" t="s">
        <v>564</v>
      </c>
      <c r="B188" s="9" t="s">
        <v>565</v>
      </c>
    </row>
    <row r="189" spans="1:18" x14ac:dyDescent="0.2">
      <c r="A189" t="s">
        <v>6</v>
      </c>
      <c r="B189">
        <v>1</v>
      </c>
      <c r="K189" s="8"/>
      <c r="L189" s="8"/>
      <c r="M189" s="8"/>
      <c r="N189" s="8"/>
      <c r="O189" s="8"/>
      <c r="P189" s="8"/>
    </row>
    <row r="190" spans="1:18" x14ac:dyDescent="0.2">
      <c r="A190" t="s">
        <v>7</v>
      </c>
      <c r="B190" t="s">
        <v>603</v>
      </c>
      <c r="K190" s="8"/>
      <c r="L190" s="8"/>
      <c r="M190" s="8"/>
      <c r="N190" s="8"/>
      <c r="O190" s="8"/>
      <c r="P190" s="8"/>
    </row>
    <row r="191" spans="1:18" x14ac:dyDescent="0.2">
      <c r="A191" t="s">
        <v>10</v>
      </c>
      <c r="B191" t="s">
        <v>27</v>
      </c>
      <c r="K191" s="8"/>
      <c r="L191" s="8"/>
      <c r="M191" s="8"/>
      <c r="N191" s="8"/>
      <c r="O191" s="8"/>
      <c r="P191" s="8"/>
    </row>
    <row r="192" spans="1:18" ht="16" x14ac:dyDescent="0.2">
      <c r="A192" s="1" t="s">
        <v>18</v>
      </c>
      <c r="K192" s="8"/>
      <c r="L192" s="8"/>
      <c r="M192" s="8"/>
      <c r="N192" s="8"/>
      <c r="O192" s="8"/>
      <c r="P192" s="8"/>
    </row>
    <row r="193" spans="1:20" ht="16" x14ac:dyDescent="0.2">
      <c r="A193" s="1" t="s">
        <v>19</v>
      </c>
      <c r="B193" s="1" t="s">
        <v>20</v>
      </c>
      <c r="C193" s="1" t="s">
        <v>5</v>
      </c>
      <c r="D193" s="1" t="s">
        <v>10</v>
      </c>
      <c r="E193" s="1" t="s">
        <v>22</v>
      </c>
      <c r="F193" s="1" t="s">
        <v>8</v>
      </c>
      <c r="G193" s="1" t="s">
        <v>7</v>
      </c>
      <c r="H193" s="10" t="s">
        <v>17</v>
      </c>
      <c r="I193" s="10" t="s">
        <v>567</v>
      </c>
      <c r="J193" s="1" t="s">
        <v>568</v>
      </c>
      <c r="K193" s="11" t="s">
        <v>569</v>
      </c>
      <c r="L193" s="11" t="s">
        <v>570</v>
      </c>
      <c r="M193" s="11" t="s">
        <v>571</v>
      </c>
      <c r="N193" s="11" t="s">
        <v>572</v>
      </c>
      <c r="O193" s="11" t="s">
        <v>573</v>
      </c>
      <c r="P193" s="11" t="s">
        <v>574</v>
      </c>
      <c r="Q193" s="1" t="s">
        <v>575</v>
      </c>
      <c r="R193" s="1" t="s">
        <v>576</v>
      </c>
      <c r="S193" s="10" t="s">
        <v>577</v>
      </c>
      <c r="T193" s="1" t="s">
        <v>578</v>
      </c>
    </row>
    <row r="194" spans="1:20" ht="16" x14ac:dyDescent="0.2">
      <c r="A194" t="str">
        <f>B184</f>
        <v>carbon fiber production, fiber drying and sizing</v>
      </c>
      <c r="B194">
        <v>1</v>
      </c>
      <c r="C194" t="s">
        <v>26</v>
      </c>
      <c r="D194" t="s">
        <v>27</v>
      </c>
      <c r="E194" s="2"/>
      <c r="F194" t="s">
        <v>24</v>
      </c>
      <c r="G194" t="str">
        <f>B190</f>
        <v>carbon fiber, dried and sized</v>
      </c>
      <c r="H194" s="2"/>
      <c r="I194" s="2"/>
      <c r="K194" s="8"/>
      <c r="L194" s="8"/>
      <c r="M194" s="8"/>
      <c r="N194" s="8"/>
      <c r="O194" s="8"/>
      <c r="P194" s="8"/>
      <c r="T194" t="s">
        <v>579</v>
      </c>
    </row>
    <row r="195" spans="1:20" ht="16" x14ac:dyDescent="0.2">
      <c r="A195" t="s">
        <v>511</v>
      </c>
      <c r="B195" s="6">
        <v>7.7999999999999999E-4</v>
      </c>
      <c r="C195" t="s">
        <v>26</v>
      </c>
      <c r="D195" t="s">
        <v>512</v>
      </c>
      <c r="E195" s="2"/>
      <c r="F195" t="s">
        <v>28</v>
      </c>
      <c r="G195" t="s">
        <v>513</v>
      </c>
      <c r="H195" s="2"/>
      <c r="I195" s="2">
        <v>2</v>
      </c>
      <c r="J195">
        <f t="shared" ref="J195:J204" si="14">LN(B195)</f>
        <v>-7.1562166382806369</v>
      </c>
      <c r="K195" s="8">
        <v>1.5</v>
      </c>
      <c r="L195" s="8">
        <v>1.2</v>
      </c>
      <c r="M195" s="8">
        <v>1.5</v>
      </c>
      <c r="N195" s="8">
        <v>1.1000000000000001</v>
      </c>
      <c r="O195" s="8">
        <v>2</v>
      </c>
      <c r="P195" s="8">
        <v>1.2</v>
      </c>
      <c r="Q195">
        <v>1.05</v>
      </c>
      <c r="R195">
        <f t="shared" ref="R195:R204" si="15">LN(SQRT(EXP(
SQRT(
+POWER(LN(K195),2)
+POWER(LN(L195),2)
+POWER(LN(M195),2)
+POWER(LN(N195),2)
+POWER(LN(O195),2)
+POWER(LN(P195),2)
+POWER(LN(Q195),2)
)
)))</f>
        <v>0.47095746419981693</v>
      </c>
    </row>
    <row r="196" spans="1:20" ht="16" x14ac:dyDescent="0.2">
      <c r="A196" t="s">
        <v>56</v>
      </c>
      <c r="B196" s="12">
        <v>0.45340000000000003</v>
      </c>
      <c r="C196" t="s">
        <v>26</v>
      </c>
      <c r="D196" t="s">
        <v>39</v>
      </c>
      <c r="E196" s="2"/>
      <c r="F196" t="s">
        <v>28</v>
      </c>
      <c r="G196" t="s">
        <v>58</v>
      </c>
      <c r="H196" s="2"/>
      <c r="I196" s="2">
        <v>2</v>
      </c>
      <c r="J196">
        <f t="shared" si="14"/>
        <v>-0.7909805409087084</v>
      </c>
      <c r="K196" s="8">
        <v>1.5</v>
      </c>
      <c r="L196" s="8">
        <v>1.2</v>
      </c>
      <c r="M196" s="8">
        <v>1.5</v>
      </c>
      <c r="N196" s="8">
        <v>1.1000000000000001</v>
      </c>
      <c r="O196" s="8">
        <v>2</v>
      </c>
      <c r="P196" s="8">
        <v>1.2</v>
      </c>
      <c r="Q196">
        <v>1.05</v>
      </c>
      <c r="R196">
        <f t="shared" si="15"/>
        <v>0.47095746419981693</v>
      </c>
    </row>
    <row r="197" spans="1:20" ht="16" x14ac:dyDescent="0.2">
      <c r="A197" t="s">
        <v>542</v>
      </c>
      <c r="B197" s="7">
        <f>0.03062*2.778</f>
        <v>8.5062360000000004E-2</v>
      </c>
      <c r="C197" t="s">
        <v>26</v>
      </c>
      <c r="D197" t="s">
        <v>543</v>
      </c>
      <c r="E197" s="2"/>
      <c r="F197" t="s">
        <v>28</v>
      </c>
      <c r="G197" t="s">
        <v>544</v>
      </c>
      <c r="H197" s="2"/>
      <c r="I197" s="2">
        <v>2</v>
      </c>
      <c r="J197">
        <f t="shared" si="14"/>
        <v>-2.4643706444204474</v>
      </c>
      <c r="K197" s="8">
        <v>1.5</v>
      </c>
      <c r="L197" s="8">
        <v>1.2</v>
      </c>
      <c r="M197" s="8">
        <v>1.5</v>
      </c>
      <c r="N197" s="8">
        <v>1.1000000000000001</v>
      </c>
      <c r="O197" s="8">
        <v>2</v>
      </c>
      <c r="P197" s="8">
        <v>1.2</v>
      </c>
      <c r="Q197">
        <v>1.05</v>
      </c>
      <c r="R197">
        <f t="shared" si="15"/>
        <v>0.47095746419981693</v>
      </c>
    </row>
    <row r="198" spans="1:20" ht="16" x14ac:dyDescent="0.2">
      <c r="A198" t="s">
        <v>511</v>
      </c>
      <c r="B198" s="6">
        <v>2E-3</v>
      </c>
      <c r="C198" t="s">
        <v>26</v>
      </c>
      <c r="D198" t="s">
        <v>512</v>
      </c>
      <c r="E198" s="2"/>
      <c r="F198" t="s">
        <v>28</v>
      </c>
      <c r="G198" t="s">
        <v>513</v>
      </c>
      <c r="H198" s="2"/>
      <c r="I198" s="2">
        <v>2</v>
      </c>
      <c r="J198">
        <f t="shared" si="14"/>
        <v>-6.2146080984221914</v>
      </c>
      <c r="K198" s="8">
        <v>1.5</v>
      </c>
      <c r="L198" s="8">
        <v>1.2</v>
      </c>
      <c r="M198" s="8">
        <v>1.5</v>
      </c>
      <c r="N198" s="8">
        <v>1.1000000000000001</v>
      </c>
      <c r="O198" s="8">
        <v>2</v>
      </c>
      <c r="P198" s="8">
        <v>1.2</v>
      </c>
      <c r="Q198">
        <v>1.05</v>
      </c>
      <c r="R198">
        <f t="shared" si="15"/>
        <v>0.47095746419981693</v>
      </c>
    </row>
    <row r="199" spans="1:20" ht="16" x14ac:dyDescent="0.2">
      <c r="A199" t="s">
        <v>56</v>
      </c>
      <c r="B199" s="12">
        <v>2.2259999999999999E-2</v>
      </c>
      <c r="C199" t="s">
        <v>26</v>
      </c>
      <c r="D199" t="s">
        <v>39</v>
      </c>
      <c r="E199" s="2"/>
      <c r="F199" t="s">
        <v>28</v>
      </c>
      <c r="G199" t="s">
        <v>58</v>
      </c>
      <c r="H199" s="2"/>
      <c r="I199" s="2">
        <v>2</v>
      </c>
      <c r="J199">
        <f t="shared" si="14"/>
        <v>-3.8049639331347382</v>
      </c>
      <c r="K199" s="8">
        <v>1.5</v>
      </c>
      <c r="L199" s="8">
        <v>1.2</v>
      </c>
      <c r="M199" s="8">
        <v>1.5</v>
      </c>
      <c r="N199" s="8">
        <v>1.1000000000000001</v>
      </c>
      <c r="O199" s="8">
        <v>2</v>
      </c>
      <c r="P199" s="8">
        <v>1.2</v>
      </c>
      <c r="Q199">
        <v>1.05</v>
      </c>
      <c r="R199">
        <f t="shared" si="15"/>
        <v>0.47095746419981693</v>
      </c>
    </row>
    <row r="200" spans="1:20" ht="16" x14ac:dyDescent="0.2">
      <c r="A200" t="s">
        <v>604</v>
      </c>
      <c r="B200" s="6">
        <v>1.0149999999999999E-2</v>
      </c>
      <c r="C200" t="s">
        <v>26</v>
      </c>
      <c r="D200" t="s">
        <v>27</v>
      </c>
      <c r="E200" s="2"/>
      <c r="F200" t="s">
        <v>28</v>
      </c>
      <c r="G200" t="s">
        <v>510</v>
      </c>
      <c r="H200" s="2"/>
      <c r="I200" s="2">
        <v>2</v>
      </c>
      <c r="J200">
        <f t="shared" si="14"/>
        <v>-4.590281573494341</v>
      </c>
      <c r="K200" s="8">
        <v>1.5</v>
      </c>
      <c r="L200" s="8">
        <v>1.2</v>
      </c>
      <c r="M200" s="8">
        <v>1.5</v>
      </c>
      <c r="N200" s="8">
        <v>1.1000000000000001</v>
      </c>
      <c r="O200" s="8">
        <v>2</v>
      </c>
      <c r="P200" s="8">
        <v>1.2</v>
      </c>
      <c r="Q200">
        <v>1.05</v>
      </c>
      <c r="R200">
        <f t="shared" si="15"/>
        <v>0.47095746419981693</v>
      </c>
    </row>
    <row r="201" spans="1:20" ht="16" x14ac:dyDescent="0.2">
      <c r="A201" t="s">
        <v>551</v>
      </c>
      <c r="B201" s="6">
        <v>2.5050000000000002E-4</v>
      </c>
      <c r="C201" t="s">
        <v>35</v>
      </c>
      <c r="D201" t="s">
        <v>27</v>
      </c>
      <c r="E201" s="2"/>
      <c r="F201" t="s">
        <v>28</v>
      </c>
      <c r="G201" t="s">
        <v>552</v>
      </c>
      <c r="H201" s="2"/>
      <c r="I201" s="2">
        <v>2</v>
      </c>
      <c r="J201">
        <f t="shared" si="14"/>
        <v>-8.2920516374393554</v>
      </c>
      <c r="K201" s="8">
        <v>1.5</v>
      </c>
      <c r="L201" s="8">
        <v>1.2</v>
      </c>
      <c r="M201" s="8">
        <v>1.5</v>
      </c>
      <c r="N201" s="8">
        <v>1.1000000000000001</v>
      </c>
      <c r="O201" s="8">
        <v>2</v>
      </c>
      <c r="P201" s="8">
        <v>1.2</v>
      </c>
      <c r="Q201">
        <v>1.05</v>
      </c>
      <c r="R201">
        <f t="shared" si="15"/>
        <v>0.47095746419981693</v>
      </c>
    </row>
    <row r="202" spans="1:20" ht="16" x14ac:dyDescent="0.2">
      <c r="A202" t="str">
        <f>A159</f>
        <v>carbon fiber production, fiber stabilization, carbonization, electrolysis and washing</v>
      </c>
      <c r="B202">
        <v>1.0920000000000001</v>
      </c>
      <c r="C202" t="s">
        <v>26</v>
      </c>
      <c r="D202" t="s">
        <v>27</v>
      </c>
      <c r="E202" s="2"/>
      <c r="F202" t="s">
        <v>28</v>
      </c>
      <c r="G202" t="str">
        <f>G159</f>
        <v>carbon fiber, washed</v>
      </c>
      <c r="H202" s="2"/>
      <c r="I202" s="2">
        <v>2</v>
      </c>
      <c r="J202">
        <f t="shared" si="14"/>
        <v>8.8010877322713371E-2</v>
      </c>
      <c r="K202" s="8">
        <v>1.5</v>
      </c>
      <c r="L202" s="8">
        <v>1.2</v>
      </c>
      <c r="M202" s="8">
        <v>1.5</v>
      </c>
      <c r="N202" s="8">
        <v>1.1000000000000001</v>
      </c>
      <c r="O202" s="8">
        <v>2</v>
      </c>
      <c r="P202" s="8">
        <v>1.2</v>
      </c>
      <c r="Q202">
        <v>1.05</v>
      </c>
      <c r="R202">
        <f t="shared" si="15"/>
        <v>0.47095746419981693</v>
      </c>
    </row>
    <row r="203" spans="1:20" ht="16" x14ac:dyDescent="0.2">
      <c r="A203" t="s">
        <v>56</v>
      </c>
      <c r="B203" s="12">
        <v>0.15</v>
      </c>
      <c r="C203" t="s">
        <v>26</v>
      </c>
      <c r="D203" t="s">
        <v>39</v>
      </c>
      <c r="E203" s="2"/>
      <c r="F203" t="s">
        <v>28</v>
      </c>
      <c r="G203" t="s">
        <v>58</v>
      </c>
      <c r="H203" s="2"/>
      <c r="I203" s="2">
        <v>2</v>
      </c>
      <c r="J203">
        <f t="shared" si="14"/>
        <v>-1.8971199848858813</v>
      </c>
      <c r="K203" s="8">
        <v>1.5</v>
      </c>
      <c r="L203" s="8">
        <v>1.2</v>
      </c>
      <c r="M203" s="8">
        <v>1.5</v>
      </c>
      <c r="N203" s="8">
        <v>1.1000000000000001</v>
      </c>
      <c r="O203" s="8">
        <v>2</v>
      </c>
      <c r="P203" s="8">
        <v>1.2</v>
      </c>
      <c r="Q203">
        <v>1.05</v>
      </c>
      <c r="R203">
        <f t="shared" si="15"/>
        <v>0.47095746419981693</v>
      </c>
    </row>
    <row r="204" spans="1:20" ht="16" x14ac:dyDescent="0.2">
      <c r="A204" t="s">
        <v>542</v>
      </c>
      <c r="B204" s="7">
        <v>0.25002000000000013</v>
      </c>
      <c r="C204" t="s">
        <v>26</v>
      </c>
      <c r="D204" t="s">
        <v>543</v>
      </c>
      <c r="E204" s="2"/>
      <c r="F204" t="s">
        <v>28</v>
      </c>
      <c r="G204" t="s">
        <v>544</v>
      </c>
      <c r="H204" s="2"/>
      <c r="I204" s="2">
        <v>2</v>
      </c>
      <c r="J204">
        <f t="shared" si="14"/>
        <v>-1.3862143643197193</v>
      </c>
      <c r="K204" s="8">
        <v>1.5</v>
      </c>
      <c r="L204" s="8">
        <v>1.2</v>
      </c>
      <c r="M204" s="8">
        <v>1.5</v>
      </c>
      <c r="N204" s="8">
        <v>1.1000000000000001</v>
      </c>
      <c r="O204" s="8">
        <v>2</v>
      </c>
      <c r="P204" s="8">
        <v>1.2</v>
      </c>
      <c r="Q204">
        <v>1.05</v>
      </c>
      <c r="R204">
        <f t="shared" si="15"/>
        <v>0.47095746419981693</v>
      </c>
    </row>
    <row r="205" spans="1:20" x14ac:dyDescent="0.2">
      <c r="K205" s="8"/>
      <c r="L205" s="8"/>
      <c r="M205" s="8"/>
      <c r="N205" s="8"/>
      <c r="O205" s="8"/>
      <c r="P205" s="8"/>
    </row>
    <row r="206" spans="1:20" ht="16" x14ac:dyDescent="0.2">
      <c r="A206" s="1" t="s">
        <v>4</v>
      </c>
      <c r="B206" s="1" t="s">
        <v>514</v>
      </c>
      <c r="K206" s="8"/>
      <c r="L206" s="8"/>
      <c r="M206" s="8"/>
      <c r="N206" s="8"/>
      <c r="O206" s="8"/>
      <c r="P206" s="8"/>
    </row>
    <row r="207" spans="1:20" x14ac:dyDescent="0.2">
      <c r="A207" t="s">
        <v>17</v>
      </c>
      <c r="B207" t="s">
        <v>539</v>
      </c>
      <c r="K207" s="8"/>
      <c r="L207" s="8"/>
      <c r="M207" s="8"/>
      <c r="N207" s="8"/>
      <c r="O207" s="8"/>
      <c r="P207" s="8"/>
    </row>
    <row r="208" spans="1:20" x14ac:dyDescent="0.2">
      <c r="A208" t="s">
        <v>13</v>
      </c>
      <c r="B208" t="s">
        <v>517</v>
      </c>
      <c r="K208" s="8"/>
      <c r="L208" s="8"/>
      <c r="M208" s="8"/>
      <c r="N208" s="8"/>
      <c r="O208" s="8"/>
      <c r="P208" s="8"/>
    </row>
    <row r="209" spans="1:20" x14ac:dyDescent="0.2">
      <c r="A209" t="s">
        <v>5</v>
      </c>
      <c r="B209" t="s">
        <v>26</v>
      </c>
      <c r="K209" s="8"/>
      <c r="L209" s="8"/>
      <c r="M209" s="8"/>
      <c r="N209" s="8"/>
      <c r="O209" s="8"/>
      <c r="P209" s="8"/>
    </row>
    <row r="210" spans="1:20" x14ac:dyDescent="0.2">
      <c r="A210" t="s">
        <v>564</v>
      </c>
      <c r="B210" s="9" t="s">
        <v>565</v>
      </c>
    </row>
    <row r="211" spans="1:20" x14ac:dyDescent="0.2">
      <c r="A211" t="s">
        <v>6</v>
      </c>
      <c r="B211">
        <v>1</v>
      </c>
      <c r="K211" s="8"/>
      <c r="L211" s="8"/>
      <c r="M211" s="8"/>
      <c r="N211" s="8"/>
      <c r="O211" s="8"/>
      <c r="P211" s="8"/>
    </row>
    <row r="212" spans="1:20" x14ac:dyDescent="0.2">
      <c r="A212" t="s">
        <v>7</v>
      </c>
      <c r="B212" t="s">
        <v>515</v>
      </c>
      <c r="K212" s="8"/>
      <c r="L212" s="8"/>
      <c r="M212" s="8"/>
      <c r="N212" s="8"/>
      <c r="O212" s="8"/>
      <c r="P212" s="8"/>
    </row>
    <row r="213" spans="1:20" x14ac:dyDescent="0.2">
      <c r="A213" t="s">
        <v>10</v>
      </c>
      <c r="B213" t="s">
        <v>27</v>
      </c>
      <c r="K213" s="8"/>
      <c r="L213" s="8"/>
      <c r="M213" s="8"/>
      <c r="N213" s="8"/>
      <c r="O213" s="8"/>
      <c r="P213" s="8"/>
    </row>
    <row r="214" spans="1:20" ht="16" x14ac:dyDescent="0.2">
      <c r="A214" s="1" t="s">
        <v>18</v>
      </c>
      <c r="K214" s="8"/>
      <c r="L214" s="8"/>
      <c r="M214" s="8"/>
      <c r="N214" s="8"/>
      <c r="O214" s="8"/>
      <c r="P214" s="8"/>
    </row>
    <row r="215" spans="1:20" ht="16" x14ac:dyDescent="0.2">
      <c r="A215" s="1" t="s">
        <v>19</v>
      </c>
      <c r="B215" s="1" t="s">
        <v>20</v>
      </c>
      <c r="C215" s="1" t="s">
        <v>5</v>
      </c>
      <c r="D215" s="1" t="s">
        <v>10</v>
      </c>
      <c r="E215" s="1" t="s">
        <v>22</v>
      </c>
      <c r="F215" s="1" t="s">
        <v>8</v>
      </c>
      <c r="G215" s="1" t="s">
        <v>7</v>
      </c>
      <c r="H215" s="10" t="s">
        <v>17</v>
      </c>
      <c r="I215" s="10" t="s">
        <v>567</v>
      </c>
      <c r="J215" s="1" t="s">
        <v>568</v>
      </c>
      <c r="K215" s="11" t="s">
        <v>569</v>
      </c>
      <c r="L215" s="11" t="s">
        <v>570</v>
      </c>
      <c r="M215" s="11" t="s">
        <v>571</v>
      </c>
      <c r="N215" s="11" t="s">
        <v>572</v>
      </c>
      <c r="O215" s="11" t="s">
        <v>573</v>
      </c>
      <c r="P215" s="11" t="s">
        <v>574</v>
      </c>
      <c r="Q215" s="1" t="s">
        <v>575</v>
      </c>
      <c r="R215" s="1" t="s">
        <v>576</v>
      </c>
      <c r="S215" s="10" t="s">
        <v>577</v>
      </c>
      <c r="T215" s="1" t="s">
        <v>578</v>
      </c>
    </row>
    <row r="216" spans="1:20" ht="16" x14ac:dyDescent="0.2">
      <c r="A216" t="s">
        <v>514</v>
      </c>
      <c r="B216">
        <v>1</v>
      </c>
      <c r="C216" t="s">
        <v>26</v>
      </c>
      <c r="D216" t="s">
        <v>27</v>
      </c>
      <c r="E216" s="2"/>
      <c r="F216" t="s">
        <v>24</v>
      </c>
      <c r="G216" t="s">
        <v>515</v>
      </c>
      <c r="H216" s="2"/>
      <c r="I216" s="2"/>
      <c r="K216" s="8"/>
      <c r="L216" s="8"/>
      <c r="M216" s="8"/>
      <c r="N216" s="8"/>
      <c r="O216" s="8"/>
      <c r="P216" s="8"/>
      <c r="T216" t="s">
        <v>579</v>
      </c>
    </row>
    <row r="217" spans="1:20" ht="16" x14ac:dyDescent="0.2">
      <c r="A217" t="str">
        <f>A194</f>
        <v>carbon fiber production, fiber drying and sizing</v>
      </c>
      <c r="B217">
        <v>1</v>
      </c>
      <c r="C217" t="s">
        <v>26</v>
      </c>
      <c r="D217" t="s">
        <v>27</v>
      </c>
      <c r="E217" s="2"/>
      <c r="F217" t="s">
        <v>28</v>
      </c>
      <c r="G217" t="str">
        <f>G194</f>
        <v>carbon fiber, dried and sized</v>
      </c>
      <c r="H217" s="2"/>
      <c r="I217" s="2">
        <v>2</v>
      </c>
      <c r="J217">
        <f t="shared" ref="J217:J219" si="16">LN(B217)</f>
        <v>0</v>
      </c>
      <c r="K217" s="8">
        <v>1.5</v>
      </c>
      <c r="L217" s="8">
        <v>1.2</v>
      </c>
      <c r="M217" s="8">
        <v>1.5</v>
      </c>
      <c r="N217" s="8">
        <v>1.1000000000000001</v>
      </c>
      <c r="O217" s="8">
        <v>2</v>
      </c>
      <c r="P217" s="8">
        <v>1.2</v>
      </c>
      <c r="Q217">
        <v>1.05</v>
      </c>
      <c r="R217">
        <f t="shared" ref="R217:R219" si="17">LN(SQRT(EXP(
SQRT(
+POWER(LN(K217),2)
+POWER(LN(L217),2)
+POWER(LN(M217),2)
+POWER(LN(N217),2)
+POWER(LN(O217),2)
+POWER(LN(P217),2)
+POWER(LN(Q217),2)
)
)))</f>
        <v>0.47095746419981693</v>
      </c>
    </row>
    <row r="218" spans="1:20" ht="16" x14ac:dyDescent="0.2">
      <c r="A218" t="s">
        <v>511</v>
      </c>
      <c r="B218" s="6">
        <v>5.8500000000000003E-2</v>
      </c>
      <c r="C218" t="s">
        <v>26</v>
      </c>
      <c r="D218" t="s">
        <v>512</v>
      </c>
      <c r="E218" s="2"/>
      <c r="F218" t="s">
        <v>28</v>
      </c>
      <c r="G218" t="s">
        <v>513</v>
      </c>
      <c r="H218" s="2"/>
      <c r="I218" s="2">
        <v>2</v>
      </c>
      <c r="J218">
        <f t="shared" si="16"/>
        <v>-2.8387285247443264</v>
      </c>
      <c r="K218" s="8">
        <v>1.5</v>
      </c>
      <c r="L218" s="8">
        <v>1.2</v>
      </c>
      <c r="M218" s="8">
        <v>1.5</v>
      </c>
      <c r="N218" s="8">
        <v>1.1000000000000001</v>
      </c>
      <c r="O218" s="8">
        <v>2</v>
      </c>
      <c r="P218" s="8">
        <v>1.2</v>
      </c>
      <c r="Q218">
        <v>1.05</v>
      </c>
      <c r="R218">
        <f t="shared" si="17"/>
        <v>0.47095746419981693</v>
      </c>
    </row>
    <row r="219" spans="1:20" ht="16" x14ac:dyDescent="0.2">
      <c r="A219" t="s">
        <v>56</v>
      </c>
      <c r="B219" s="12">
        <v>0.52</v>
      </c>
      <c r="C219" t="s">
        <v>26</v>
      </c>
      <c r="D219" t="s">
        <v>39</v>
      </c>
      <c r="E219" s="2"/>
      <c r="F219" t="s">
        <v>28</v>
      </c>
      <c r="G219" t="s">
        <v>58</v>
      </c>
      <c r="H219" s="2"/>
      <c r="I219" s="2">
        <v>2</v>
      </c>
      <c r="J219">
        <f t="shared" si="16"/>
        <v>-0.65392646740666394</v>
      </c>
      <c r="K219" s="8">
        <v>1.5</v>
      </c>
      <c r="L219" s="8">
        <v>1.2</v>
      </c>
      <c r="M219" s="8">
        <v>1.5</v>
      </c>
      <c r="N219" s="8">
        <v>1.1000000000000001</v>
      </c>
      <c r="O219" s="8">
        <v>2</v>
      </c>
      <c r="P219" s="8">
        <v>1.2</v>
      </c>
      <c r="Q219">
        <v>1.05</v>
      </c>
      <c r="R219">
        <f t="shared" si="17"/>
        <v>0.47095746419981693</v>
      </c>
    </row>
    <row r="220" spans="1:20" x14ac:dyDescent="0.2">
      <c r="K220" s="8"/>
      <c r="L220" s="8"/>
      <c r="M220" s="8"/>
      <c r="N220" s="8"/>
      <c r="O220" s="8"/>
      <c r="P220" s="8"/>
    </row>
    <row r="221" spans="1:20" ht="16" x14ac:dyDescent="0.2">
      <c r="A221" s="1" t="s">
        <v>4</v>
      </c>
      <c r="B221" s="1" t="s">
        <v>61</v>
      </c>
    </row>
    <row r="222" spans="1:20" x14ac:dyDescent="0.2">
      <c r="A222" t="s">
        <v>17</v>
      </c>
      <c r="B222" t="s">
        <v>606</v>
      </c>
    </row>
    <row r="223" spans="1:20" x14ac:dyDescent="0.2">
      <c r="A223" t="s">
        <v>5</v>
      </c>
      <c r="B223" t="s">
        <v>33</v>
      </c>
    </row>
    <row r="224" spans="1:20" x14ac:dyDescent="0.2">
      <c r="A224" t="s">
        <v>6</v>
      </c>
      <c r="B224">
        <v>1</v>
      </c>
    </row>
    <row r="225" spans="1:7" x14ac:dyDescent="0.2">
      <c r="A225" t="s">
        <v>7</v>
      </c>
      <c r="B225" t="s">
        <v>61</v>
      </c>
    </row>
    <row r="226" spans="1:7" x14ac:dyDescent="0.2">
      <c r="A226" t="s">
        <v>10</v>
      </c>
      <c r="B226" t="s">
        <v>27</v>
      </c>
    </row>
    <row r="227" spans="1:7" ht="16" x14ac:dyDescent="0.2">
      <c r="A227" s="1" t="s">
        <v>18</v>
      </c>
    </row>
    <row r="228" spans="1:7" x14ac:dyDescent="0.2">
      <c r="A228" t="s">
        <v>19</v>
      </c>
      <c r="B228" t="s">
        <v>20</v>
      </c>
      <c r="C228" t="s">
        <v>21</v>
      </c>
      <c r="D228" t="s">
        <v>5</v>
      </c>
      <c r="E228" t="s">
        <v>10</v>
      </c>
      <c r="F228" t="s">
        <v>8</v>
      </c>
      <c r="G228" t="s">
        <v>7</v>
      </c>
    </row>
    <row r="229" spans="1:7" x14ac:dyDescent="0.2">
      <c r="A229" t="s">
        <v>61</v>
      </c>
      <c r="B229">
        <v>1</v>
      </c>
      <c r="C229" t="s">
        <v>518</v>
      </c>
      <c r="D229" t="s">
        <v>33</v>
      </c>
      <c r="E229" t="s">
        <v>27</v>
      </c>
      <c r="F229" t="s">
        <v>24</v>
      </c>
      <c r="G229" t="s">
        <v>61</v>
      </c>
    </row>
    <row r="230" spans="1:7" x14ac:dyDescent="0.2">
      <c r="A230" t="s">
        <v>607</v>
      </c>
      <c r="B230">
        <v>1.77</v>
      </c>
      <c r="C230" t="s">
        <v>520</v>
      </c>
      <c r="D230" t="s">
        <v>33</v>
      </c>
      <c r="E230" t="s">
        <v>27</v>
      </c>
      <c r="F230" t="s">
        <v>28</v>
      </c>
      <c r="G230" t="s">
        <v>608</v>
      </c>
    </row>
    <row r="231" spans="1:7" x14ac:dyDescent="0.2">
      <c r="A231" t="s">
        <v>527</v>
      </c>
      <c r="B231">
        <v>0.8</v>
      </c>
      <c r="C231" t="s">
        <v>520</v>
      </c>
      <c r="D231" t="s">
        <v>33</v>
      </c>
      <c r="E231" t="s">
        <v>27</v>
      </c>
      <c r="F231" t="s">
        <v>28</v>
      </c>
      <c r="G231" t="s">
        <v>528</v>
      </c>
    </row>
    <row r="232" spans="1:7" x14ac:dyDescent="0.2">
      <c r="A232" t="s">
        <v>609</v>
      </c>
      <c r="B232">
        <v>0.8</v>
      </c>
      <c r="C232" t="s">
        <v>520</v>
      </c>
      <c r="D232" t="s">
        <v>26</v>
      </c>
      <c r="E232" t="s">
        <v>27</v>
      </c>
      <c r="F232" t="s">
        <v>28</v>
      </c>
      <c r="G232" t="s">
        <v>609</v>
      </c>
    </row>
    <row r="233" spans="1:7" x14ac:dyDescent="0.2">
      <c r="A233" t="s">
        <v>607</v>
      </c>
      <c r="B233">
        <v>-3.57</v>
      </c>
      <c r="C233" t="s">
        <v>520</v>
      </c>
      <c r="D233" t="s">
        <v>33</v>
      </c>
      <c r="E233" t="s">
        <v>27</v>
      </c>
      <c r="F233" t="s">
        <v>28</v>
      </c>
      <c r="G233" t="s">
        <v>608</v>
      </c>
    </row>
    <row r="235" spans="1:7" x14ac:dyDescent="0.2">
      <c r="A235" s="3" t="s">
        <v>4</v>
      </c>
      <c r="B235" s="3" t="s">
        <v>484</v>
      </c>
    </row>
    <row r="236" spans="1:7" x14ac:dyDescent="0.2">
      <c r="A236" t="s">
        <v>5</v>
      </c>
      <c r="B236" t="s">
        <v>26</v>
      </c>
    </row>
    <row r="237" spans="1:7" x14ac:dyDescent="0.2">
      <c r="A237" t="s">
        <v>6</v>
      </c>
      <c r="B237">
        <v>1</v>
      </c>
    </row>
    <row r="238" spans="1:7" x14ac:dyDescent="0.2">
      <c r="A238" t="s">
        <v>7</v>
      </c>
      <c r="B238" t="s">
        <v>485</v>
      </c>
    </row>
    <row r="239" spans="1:7" x14ac:dyDescent="0.2">
      <c r="A239" t="s">
        <v>8</v>
      </c>
      <c r="B239" t="s">
        <v>9</v>
      </c>
    </row>
    <row r="240" spans="1:7" x14ac:dyDescent="0.2">
      <c r="A240" t="s">
        <v>10</v>
      </c>
      <c r="B240" t="s">
        <v>27</v>
      </c>
    </row>
    <row r="241" spans="1:9" x14ac:dyDescent="0.2">
      <c r="A241" t="s">
        <v>11</v>
      </c>
      <c r="B241" t="s">
        <v>12</v>
      </c>
    </row>
    <row r="242" spans="1:9" x14ac:dyDescent="0.2">
      <c r="A242" t="s">
        <v>13</v>
      </c>
      <c r="B242" t="s">
        <v>506</v>
      </c>
    </row>
    <row r="243" spans="1:9" x14ac:dyDescent="0.2">
      <c r="A243" t="s">
        <v>14</v>
      </c>
      <c r="B243" t="s">
        <v>507</v>
      </c>
    </row>
    <row r="244" spans="1:9" x14ac:dyDescent="0.2">
      <c r="A244" t="s">
        <v>16</v>
      </c>
    </row>
    <row r="245" spans="1:9" x14ac:dyDescent="0.2">
      <c r="A245" t="s">
        <v>17</v>
      </c>
    </row>
    <row r="246" spans="1:9" x14ac:dyDescent="0.2">
      <c r="A246" s="3" t="s">
        <v>18</v>
      </c>
    </row>
    <row r="247" spans="1:9" x14ac:dyDescent="0.2">
      <c r="A247" s="3" t="s">
        <v>19</v>
      </c>
      <c r="B247" s="3" t="s">
        <v>20</v>
      </c>
      <c r="C247" s="3" t="s">
        <v>21</v>
      </c>
      <c r="D247" s="3" t="s">
        <v>5</v>
      </c>
      <c r="E247" s="3" t="s">
        <v>10</v>
      </c>
      <c r="F247" s="3" t="s">
        <v>22</v>
      </c>
      <c r="G247" s="3" t="s">
        <v>8</v>
      </c>
      <c r="H247" s="3" t="s">
        <v>7</v>
      </c>
      <c r="I247" s="3" t="s">
        <v>23</v>
      </c>
    </row>
    <row r="248" spans="1:9" x14ac:dyDescent="0.2">
      <c r="A248" t="s">
        <v>508</v>
      </c>
      <c r="B248">
        <v>0.2555</v>
      </c>
      <c r="C248" t="s">
        <v>509</v>
      </c>
      <c r="D248" t="s">
        <v>37</v>
      </c>
      <c r="E248" t="s">
        <v>27</v>
      </c>
      <c r="G248" t="s">
        <v>28</v>
      </c>
      <c r="H248" t="s">
        <v>510</v>
      </c>
      <c r="I248" t="s">
        <v>34</v>
      </c>
    </row>
    <row r="249" spans="1:9" x14ac:dyDescent="0.2">
      <c r="A249" t="s">
        <v>56</v>
      </c>
      <c r="B249">
        <v>2.3199999999999998</v>
      </c>
      <c r="C249" t="s">
        <v>509</v>
      </c>
      <c r="D249" t="s">
        <v>57</v>
      </c>
      <c r="E249" t="s">
        <v>39</v>
      </c>
      <c r="G249" t="s">
        <v>28</v>
      </c>
      <c r="H249" t="s">
        <v>58</v>
      </c>
      <c r="I249" t="s">
        <v>29</v>
      </c>
    </row>
    <row r="250" spans="1:9" x14ac:dyDescent="0.2">
      <c r="A250" t="s">
        <v>484</v>
      </c>
      <c r="B250">
        <v>1</v>
      </c>
      <c r="C250" t="s">
        <v>509</v>
      </c>
      <c r="D250" t="s">
        <v>26</v>
      </c>
      <c r="E250" t="s">
        <v>27</v>
      </c>
      <c r="G250" t="s">
        <v>24</v>
      </c>
      <c r="H250" t="s">
        <v>485</v>
      </c>
      <c r="I250" t="s">
        <v>34</v>
      </c>
    </row>
    <row r="251" spans="1:9" x14ac:dyDescent="0.2">
      <c r="A251" t="s">
        <v>59</v>
      </c>
      <c r="B251">
        <v>7.3529412000000002E-2</v>
      </c>
      <c r="C251" t="s">
        <v>509</v>
      </c>
      <c r="D251" t="s">
        <v>26</v>
      </c>
      <c r="E251" t="s">
        <v>27</v>
      </c>
      <c r="G251" t="s">
        <v>28</v>
      </c>
      <c r="H251" t="s">
        <v>59</v>
      </c>
      <c r="I251" t="s">
        <v>25</v>
      </c>
    </row>
    <row r="252" spans="1:9" x14ac:dyDescent="0.2">
      <c r="A252" t="s">
        <v>511</v>
      </c>
      <c r="B252">
        <v>1.4599999999999999E-3</v>
      </c>
      <c r="C252" t="s">
        <v>509</v>
      </c>
      <c r="D252" t="s">
        <v>26</v>
      </c>
      <c r="E252" t="s">
        <v>512</v>
      </c>
      <c r="G252" t="s">
        <v>28</v>
      </c>
      <c r="H252" t="s">
        <v>513</v>
      </c>
      <c r="I252" t="s">
        <v>25</v>
      </c>
    </row>
    <row r="253" spans="1:9" x14ac:dyDescent="0.2">
      <c r="A253" t="s">
        <v>514</v>
      </c>
      <c r="B253">
        <v>0.74439999999999995</v>
      </c>
      <c r="C253" t="s">
        <v>509</v>
      </c>
      <c r="D253" t="s">
        <v>26</v>
      </c>
      <c r="E253" t="s">
        <v>27</v>
      </c>
      <c r="G253" t="s">
        <v>28</v>
      </c>
      <c r="H253" t="s">
        <v>515</v>
      </c>
      <c r="I253" t="s">
        <v>25</v>
      </c>
    </row>
    <row r="255" spans="1:9" x14ac:dyDescent="0.2">
      <c r="A255" s="3" t="s">
        <v>4</v>
      </c>
      <c r="B255" s="3" t="s">
        <v>59</v>
      </c>
    </row>
    <row r="256" spans="1:9" x14ac:dyDescent="0.2">
      <c r="A256" t="s">
        <v>17</v>
      </c>
      <c r="B256" t="s">
        <v>516</v>
      </c>
    </row>
    <row r="257" spans="1:9" x14ac:dyDescent="0.2">
      <c r="A257" t="s">
        <v>13</v>
      </c>
      <c r="B257" t="s">
        <v>517</v>
      </c>
    </row>
    <row r="258" spans="1:9" x14ac:dyDescent="0.2">
      <c r="A258" t="s">
        <v>5</v>
      </c>
      <c r="B258" t="s">
        <v>26</v>
      </c>
    </row>
    <row r="259" spans="1:9" x14ac:dyDescent="0.2">
      <c r="A259" t="s">
        <v>6</v>
      </c>
      <c r="B259">
        <v>1</v>
      </c>
    </row>
    <row r="260" spans="1:9" x14ac:dyDescent="0.2">
      <c r="A260" t="s">
        <v>7</v>
      </c>
      <c r="B260" t="s">
        <v>59</v>
      </c>
    </row>
    <row r="261" spans="1:9" x14ac:dyDescent="0.2">
      <c r="A261" t="s">
        <v>10</v>
      </c>
      <c r="B261" t="s">
        <v>27</v>
      </c>
    </row>
    <row r="262" spans="1:9" x14ac:dyDescent="0.2">
      <c r="A262" s="3" t="s">
        <v>18</v>
      </c>
    </row>
    <row r="263" spans="1:9" x14ac:dyDescent="0.2">
      <c r="A263" s="3" t="s">
        <v>19</v>
      </c>
      <c r="B263" s="3" t="s">
        <v>20</v>
      </c>
      <c r="C263" s="3" t="s">
        <v>21</v>
      </c>
      <c r="D263" s="3" t="s">
        <v>5</v>
      </c>
      <c r="E263" s="3" t="s">
        <v>10</v>
      </c>
      <c r="F263" s="3" t="s">
        <v>8</v>
      </c>
      <c r="G263" s="3" t="s">
        <v>7</v>
      </c>
      <c r="H263" s="3"/>
      <c r="I263" s="3"/>
    </row>
    <row r="264" spans="1:9" x14ac:dyDescent="0.2">
      <c r="A264" t="s">
        <v>59</v>
      </c>
      <c r="B264">
        <v>1</v>
      </c>
      <c r="C264" t="s">
        <v>518</v>
      </c>
      <c r="D264" t="s">
        <v>26</v>
      </c>
      <c r="E264" t="s">
        <v>27</v>
      </c>
      <c r="F264" t="s">
        <v>24</v>
      </c>
      <c r="G264" t="s">
        <v>59</v>
      </c>
    </row>
    <row r="265" spans="1:9" x14ac:dyDescent="0.2">
      <c r="A265" t="s">
        <v>56</v>
      </c>
      <c r="B265">
        <v>0.23</v>
      </c>
      <c r="C265" t="s">
        <v>519</v>
      </c>
      <c r="D265" t="s">
        <v>26</v>
      </c>
      <c r="E265" t="s">
        <v>39</v>
      </c>
      <c r="F265" t="s">
        <v>28</v>
      </c>
      <c r="G265" t="s">
        <v>58</v>
      </c>
    </row>
    <row r="266" spans="1:9" x14ac:dyDescent="0.2">
      <c r="A266" t="s">
        <v>40</v>
      </c>
      <c r="B266">
        <v>1.006</v>
      </c>
      <c r="C266" t="s">
        <v>520</v>
      </c>
      <c r="D266" t="s">
        <v>33</v>
      </c>
      <c r="E266" t="s">
        <v>27</v>
      </c>
      <c r="F266" t="s">
        <v>28</v>
      </c>
      <c r="G266" t="s">
        <v>41</v>
      </c>
    </row>
    <row r="267" spans="1:9" x14ac:dyDescent="0.2">
      <c r="A267" t="s">
        <v>55</v>
      </c>
      <c r="B267">
        <v>0.12</v>
      </c>
      <c r="C267" t="s">
        <v>519</v>
      </c>
      <c r="D267" t="s">
        <v>26</v>
      </c>
      <c r="E267" t="s">
        <v>27</v>
      </c>
      <c r="F267" t="s">
        <v>28</v>
      </c>
      <c r="G267" t="s">
        <v>55</v>
      </c>
    </row>
    <row r="268" spans="1:9" x14ac:dyDescent="0.2">
      <c r="A268" t="s">
        <v>42</v>
      </c>
      <c r="B268">
        <v>0.1</v>
      </c>
      <c r="C268" t="s">
        <v>519</v>
      </c>
      <c r="D268" t="s">
        <v>33</v>
      </c>
      <c r="E268" t="s">
        <v>27</v>
      </c>
      <c r="F268" t="s">
        <v>28</v>
      </c>
      <c r="G268" t="s">
        <v>43</v>
      </c>
    </row>
    <row r="269" spans="1:9" x14ac:dyDescent="0.2">
      <c r="A269" t="s">
        <v>60</v>
      </c>
      <c r="B269">
        <v>1.1106666666666669</v>
      </c>
      <c r="C269" t="s">
        <v>519</v>
      </c>
      <c r="D269" t="s">
        <v>26</v>
      </c>
      <c r="E269" t="s">
        <v>27</v>
      </c>
      <c r="F269" t="s">
        <v>28</v>
      </c>
      <c r="G269" t="s">
        <v>54</v>
      </c>
    </row>
    <row r="270" spans="1:9" x14ac:dyDescent="0.2">
      <c r="A270" t="s">
        <v>44</v>
      </c>
      <c r="B270">
        <v>0.2222666666666667</v>
      </c>
      <c r="C270" t="s">
        <v>519</v>
      </c>
      <c r="D270" t="s">
        <v>26</v>
      </c>
      <c r="E270" t="s">
        <v>38</v>
      </c>
      <c r="F270" t="s">
        <v>28</v>
      </c>
      <c r="G270" t="s">
        <v>499</v>
      </c>
    </row>
    <row r="272" spans="1:9" x14ac:dyDescent="0.2">
      <c r="A272" s="3" t="s">
        <v>4</v>
      </c>
      <c r="B272" s="3" t="s">
        <v>521</v>
      </c>
    </row>
    <row r="273" spans="1:9" x14ac:dyDescent="0.2">
      <c r="A273" t="s">
        <v>5</v>
      </c>
      <c r="B273" t="s">
        <v>26</v>
      </c>
    </row>
    <row r="274" spans="1:9" x14ac:dyDescent="0.2">
      <c r="A274" t="s">
        <v>6</v>
      </c>
      <c r="B274">
        <v>1</v>
      </c>
    </row>
    <row r="275" spans="1:9" x14ac:dyDescent="0.2">
      <c r="A275" t="s">
        <v>7</v>
      </c>
      <c r="B275" t="s">
        <v>522</v>
      </c>
    </row>
    <row r="276" spans="1:9" x14ac:dyDescent="0.2">
      <c r="A276" t="s">
        <v>8</v>
      </c>
      <c r="B276" t="s">
        <v>9</v>
      </c>
    </row>
    <row r="277" spans="1:9" x14ac:dyDescent="0.2">
      <c r="A277" t="s">
        <v>10</v>
      </c>
      <c r="B277" t="s">
        <v>27</v>
      </c>
    </row>
    <row r="278" spans="1:9" x14ac:dyDescent="0.2">
      <c r="A278" t="s">
        <v>11</v>
      </c>
      <c r="B278" t="s">
        <v>12</v>
      </c>
    </row>
    <row r="279" spans="1:9" x14ac:dyDescent="0.2">
      <c r="A279" t="s">
        <v>13</v>
      </c>
      <c r="B279" t="s">
        <v>523</v>
      </c>
    </row>
    <row r="280" spans="1:9" x14ac:dyDescent="0.2">
      <c r="A280" t="s">
        <v>14</v>
      </c>
      <c r="B280" t="s">
        <v>524</v>
      </c>
    </row>
    <row r="281" spans="1:9" x14ac:dyDescent="0.2">
      <c r="A281" t="s">
        <v>16</v>
      </c>
    </row>
    <row r="282" spans="1:9" x14ac:dyDescent="0.2">
      <c r="A282" t="s">
        <v>17</v>
      </c>
    </row>
    <row r="283" spans="1:9" x14ac:dyDescent="0.2">
      <c r="A283" s="3" t="s">
        <v>18</v>
      </c>
    </row>
    <row r="284" spans="1:9" x14ac:dyDescent="0.2">
      <c r="A284" s="3" t="s">
        <v>19</v>
      </c>
      <c r="B284" s="3" t="s">
        <v>20</v>
      </c>
      <c r="C284" s="3" t="s">
        <v>21</v>
      </c>
      <c r="D284" s="3" t="s">
        <v>5</v>
      </c>
      <c r="E284" s="3" t="s">
        <v>10</v>
      </c>
      <c r="F284" s="3" t="s">
        <v>22</v>
      </c>
      <c r="G284" s="3" t="s">
        <v>8</v>
      </c>
      <c r="H284" s="3" t="s">
        <v>7</v>
      </c>
      <c r="I284" s="3" t="s">
        <v>23</v>
      </c>
    </row>
    <row r="285" spans="1:9" x14ac:dyDescent="0.2">
      <c r="A285" t="s">
        <v>56</v>
      </c>
      <c r="B285">
        <v>0.108151261</v>
      </c>
      <c r="C285" t="s">
        <v>509</v>
      </c>
      <c r="D285" t="s">
        <v>57</v>
      </c>
      <c r="E285" t="s">
        <v>39</v>
      </c>
      <c r="G285" t="s">
        <v>28</v>
      </c>
      <c r="H285" t="s">
        <v>58</v>
      </c>
      <c r="I285" t="s">
        <v>29</v>
      </c>
    </row>
    <row r="286" spans="1:9" x14ac:dyDescent="0.2">
      <c r="A286" t="s">
        <v>55</v>
      </c>
      <c r="B286">
        <v>8.9411765000000004E-2</v>
      </c>
      <c r="C286" t="s">
        <v>509</v>
      </c>
      <c r="D286" t="s">
        <v>26</v>
      </c>
      <c r="E286" t="s">
        <v>27</v>
      </c>
      <c r="G286" t="s">
        <v>28</v>
      </c>
      <c r="H286" t="s">
        <v>55</v>
      </c>
      <c r="I286" t="s">
        <v>25</v>
      </c>
    </row>
    <row r="287" spans="1:9" x14ac:dyDescent="0.2">
      <c r="A287" t="s">
        <v>60</v>
      </c>
      <c r="B287">
        <v>8.6218486999999996E-2</v>
      </c>
      <c r="C287" t="s">
        <v>509</v>
      </c>
      <c r="D287" t="s">
        <v>26</v>
      </c>
      <c r="E287" t="s">
        <v>27</v>
      </c>
      <c r="G287" t="s">
        <v>28</v>
      </c>
      <c r="H287" t="s">
        <v>54</v>
      </c>
      <c r="I287" t="s">
        <v>34</v>
      </c>
    </row>
    <row r="288" spans="1:9" x14ac:dyDescent="0.2">
      <c r="A288" t="s">
        <v>525</v>
      </c>
      <c r="B288">
        <v>8.9411765000000004E-2</v>
      </c>
      <c r="C288" t="s">
        <v>509</v>
      </c>
      <c r="D288" t="s">
        <v>33</v>
      </c>
      <c r="E288" t="s">
        <v>27</v>
      </c>
      <c r="G288" t="s">
        <v>28</v>
      </c>
      <c r="H288" t="s">
        <v>526</v>
      </c>
      <c r="I288" t="s">
        <v>25</v>
      </c>
    </row>
    <row r="289" spans="1:9" x14ac:dyDescent="0.2">
      <c r="A289" t="s">
        <v>508</v>
      </c>
      <c r="B289">
        <v>0.249327731</v>
      </c>
      <c r="C289" t="s">
        <v>509</v>
      </c>
      <c r="D289" t="s">
        <v>26</v>
      </c>
      <c r="E289" t="s">
        <v>27</v>
      </c>
      <c r="G289" t="s">
        <v>28</v>
      </c>
      <c r="H289" t="s">
        <v>510</v>
      </c>
      <c r="I289" t="s">
        <v>34</v>
      </c>
    </row>
    <row r="290" spans="1:9" x14ac:dyDescent="0.2">
      <c r="A290" t="s">
        <v>514</v>
      </c>
      <c r="B290">
        <v>0.166218487</v>
      </c>
      <c r="C290" t="s">
        <v>509</v>
      </c>
      <c r="D290" t="s">
        <v>26</v>
      </c>
      <c r="E290" t="s">
        <v>27</v>
      </c>
      <c r="G290" t="s">
        <v>28</v>
      </c>
      <c r="H290" t="s">
        <v>515</v>
      </c>
      <c r="I290" t="s">
        <v>25</v>
      </c>
    </row>
    <row r="291" spans="1:9" x14ac:dyDescent="0.2">
      <c r="A291" t="s">
        <v>527</v>
      </c>
      <c r="B291">
        <v>5.9579831999999999E-2</v>
      </c>
      <c r="C291" t="s">
        <v>509</v>
      </c>
      <c r="D291" t="s">
        <v>33</v>
      </c>
      <c r="E291" t="s">
        <v>27</v>
      </c>
      <c r="G291" t="s">
        <v>28</v>
      </c>
      <c r="H291" t="s">
        <v>528</v>
      </c>
      <c r="I291" t="s">
        <v>25</v>
      </c>
    </row>
    <row r="292" spans="1:9" x14ac:dyDescent="0.2">
      <c r="A292" t="s">
        <v>529</v>
      </c>
      <c r="B292">
        <v>4.7058823999999999E-2</v>
      </c>
      <c r="C292" t="s">
        <v>509</v>
      </c>
      <c r="D292" t="s">
        <v>33</v>
      </c>
      <c r="E292" t="s">
        <v>27</v>
      </c>
      <c r="G292" t="s">
        <v>28</v>
      </c>
      <c r="H292" t="s">
        <v>530</v>
      </c>
      <c r="I292" t="s">
        <v>34</v>
      </c>
    </row>
    <row r="293" spans="1:9" x14ac:dyDescent="0.2">
      <c r="A293" t="s">
        <v>521</v>
      </c>
      <c r="B293">
        <v>1</v>
      </c>
      <c r="C293" t="s">
        <v>509</v>
      </c>
      <c r="D293" t="s">
        <v>26</v>
      </c>
      <c r="E293" t="s">
        <v>27</v>
      </c>
      <c r="G293" t="s">
        <v>24</v>
      </c>
      <c r="H293" t="s">
        <v>522</v>
      </c>
      <c r="I293" t="s">
        <v>34</v>
      </c>
    </row>
    <row r="294" spans="1:9" x14ac:dyDescent="0.2">
      <c r="A294" t="s">
        <v>531</v>
      </c>
      <c r="B294">
        <v>3.9243697000000001E-2</v>
      </c>
      <c r="C294" t="s">
        <v>509</v>
      </c>
      <c r="D294" t="s">
        <v>26</v>
      </c>
      <c r="E294" t="s">
        <v>27</v>
      </c>
      <c r="G294" t="s">
        <v>28</v>
      </c>
      <c r="H294" t="s">
        <v>532</v>
      </c>
      <c r="I294" t="s">
        <v>25</v>
      </c>
    </row>
    <row r="296" spans="1:9" x14ac:dyDescent="0.2">
      <c r="A296" s="3" t="s">
        <v>4</v>
      </c>
      <c r="B296" s="3" t="s">
        <v>533</v>
      </c>
    </row>
    <row r="297" spans="1:9" x14ac:dyDescent="0.2">
      <c r="A297" t="s">
        <v>5</v>
      </c>
      <c r="B297" t="s">
        <v>26</v>
      </c>
    </row>
    <row r="298" spans="1:9" x14ac:dyDescent="0.2">
      <c r="A298" t="s">
        <v>6</v>
      </c>
      <c r="B298">
        <v>1</v>
      </c>
    </row>
    <row r="299" spans="1:9" x14ac:dyDescent="0.2">
      <c r="A299" t="s">
        <v>7</v>
      </c>
      <c r="B299" t="s">
        <v>522</v>
      </c>
    </row>
    <row r="300" spans="1:9" x14ac:dyDescent="0.2">
      <c r="A300" t="s">
        <v>8</v>
      </c>
      <c r="B300" t="s">
        <v>9</v>
      </c>
    </row>
    <row r="301" spans="1:9" x14ac:dyDescent="0.2">
      <c r="A301" t="s">
        <v>10</v>
      </c>
      <c r="B301" t="s">
        <v>27</v>
      </c>
    </row>
    <row r="302" spans="1:9" x14ac:dyDescent="0.2">
      <c r="A302" t="s">
        <v>11</v>
      </c>
      <c r="B302" t="s">
        <v>12</v>
      </c>
    </row>
    <row r="303" spans="1:9" x14ac:dyDescent="0.2">
      <c r="A303" t="s">
        <v>13</v>
      </c>
      <c r="B303" t="s">
        <v>523</v>
      </c>
    </row>
    <row r="304" spans="1:9" x14ac:dyDescent="0.2">
      <c r="A304" t="s">
        <v>14</v>
      </c>
      <c r="B304" t="s">
        <v>534</v>
      </c>
    </row>
    <row r="305" spans="1:9" x14ac:dyDescent="0.2">
      <c r="A305" t="s">
        <v>16</v>
      </c>
    </row>
    <row r="306" spans="1:9" x14ac:dyDescent="0.2">
      <c r="A306" t="s">
        <v>17</v>
      </c>
    </row>
    <row r="307" spans="1:9" x14ac:dyDescent="0.2">
      <c r="A307" s="3" t="s">
        <v>18</v>
      </c>
    </row>
    <row r="308" spans="1:9" x14ac:dyDescent="0.2">
      <c r="A308" s="3" t="s">
        <v>19</v>
      </c>
      <c r="B308" s="3" t="s">
        <v>20</v>
      </c>
      <c r="C308" s="3" t="s">
        <v>21</v>
      </c>
      <c r="D308" s="3" t="s">
        <v>5</v>
      </c>
      <c r="E308" s="3" t="s">
        <v>10</v>
      </c>
      <c r="F308" s="3" t="s">
        <v>22</v>
      </c>
      <c r="G308" s="3" t="s">
        <v>8</v>
      </c>
      <c r="H308" s="3" t="s">
        <v>7</v>
      </c>
      <c r="I308" s="3" t="s">
        <v>23</v>
      </c>
    </row>
    <row r="309" spans="1:9" x14ac:dyDescent="0.2">
      <c r="A309" t="s">
        <v>56</v>
      </c>
      <c r="B309">
        <v>0.17658064500000001</v>
      </c>
      <c r="C309" t="s">
        <v>509</v>
      </c>
      <c r="D309" t="s">
        <v>57</v>
      </c>
      <c r="E309" t="s">
        <v>39</v>
      </c>
      <c r="G309" t="s">
        <v>28</v>
      </c>
      <c r="H309" t="s">
        <v>58</v>
      </c>
      <c r="I309" t="s">
        <v>29</v>
      </c>
    </row>
    <row r="310" spans="1:9" x14ac:dyDescent="0.2">
      <c r="A310" t="s">
        <v>55</v>
      </c>
      <c r="B310">
        <v>0.11388172000000001</v>
      </c>
      <c r="C310" t="s">
        <v>509</v>
      </c>
      <c r="D310" t="s">
        <v>26</v>
      </c>
      <c r="E310" t="s">
        <v>27</v>
      </c>
      <c r="G310" t="s">
        <v>28</v>
      </c>
      <c r="H310" t="s">
        <v>55</v>
      </c>
      <c r="I310" t="s">
        <v>25</v>
      </c>
    </row>
    <row r="311" spans="1:9" x14ac:dyDescent="0.2">
      <c r="A311" t="s">
        <v>525</v>
      </c>
      <c r="B311">
        <v>0.11388172000000001</v>
      </c>
      <c r="C311" t="s">
        <v>509</v>
      </c>
      <c r="D311" t="s">
        <v>33</v>
      </c>
      <c r="E311" t="s">
        <v>27</v>
      </c>
      <c r="G311" t="s">
        <v>28</v>
      </c>
      <c r="H311" t="s">
        <v>526</v>
      </c>
      <c r="I311" t="s">
        <v>25</v>
      </c>
    </row>
    <row r="312" spans="1:9" x14ac:dyDescent="0.2">
      <c r="A312" t="s">
        <v>508</v>
      </c>
      <c r="B312">
        <v>0.31989247300000001</v>
      </c>
      <c r="C312" t="s">
        <v>509</v>
      </c>
      <c r="D312" t="s">
        <v>26</v>
      </c>
      <c r="E312" t="s">
        <v>27</v>
      </c>
      <c r="G312" t="s">
        <v>28</v>
      </c>
      <c r="H312" t="s">
        <v>510</v>
      </c>
      <c r="I312" t="s">
        <v>34</v>
      </c>
    </row>
    <row r="313" spans="1:9" x14ac:dyDescent="0.2">
      <c r="A313" t="s">
        <v>514</v>
      </c>
      <c r="B313">
        <v>0.21368817200000001</v>
      </c>
      <c r="C313" t="s">
        <v>509</v>
      </c>
      <c r="D313" t="s">
        <v>26</v>
      </c>
      <c r="E313" t="s">
        <v>27</v>
      </c>
      <c r="G313" t="s">
        <v>28</v>
      </c>
      <c r="H313" t="s">
        <v>515</v>
      </c>
      <c r="I313" t="s">
        <v>25</v>
      </c>
    </row>
    <row r="314" spans="1:9" x14ac:dyDescent="0.2">
      <c r="A314" t="s">
        <v>533</v>
      </c>
      <c r="B314">
        <v>1</v>
      </c>
      <c r="C314" t="s">
        <v>509</v>
      </c>
      <c r="D314" t="s">
        <v>26</v>
      </c>
      <c r="E314" t="s">
        <v>27</v>
      </c>
      <c r="G314" t="s">
        <v>24</v>
      </c>
      <c r="H314" t="s">
        <v>522</v>
      </c>
      <c r="I314" t="s">
        <v>34</v>
      </c>
    </row>
    <row r="315" spans="1:9" x14ac:dyDescent="0.2">
      <c r="A315" t="s">
        <v>535</v>
      </c>
      <c r="B315">
        <v>0.38387096799999998</v>
      </c>
      <c r="C315" t="s">
        <v>509</v>
      </c>
      <c r="D315" t="s">
        <v>33</v>
      </c>
      <c r="E315" t="s">
        <v>27</v>
      </c>
      <c r="G315" t="s">
        <v>28</v>
      </c>
      <c r="H315" t="s">
        <v>536</v>
      </c>
      <c r="I315" t="s">
        <v>25</v>
      </c>
    </row>
    <row r="316" spans="1:9" x14ac:dyDescent="0.2">
      <c r="A316" t="s">
        <v>527</v>
      </c>
      <c r="B316">
        <v>0.45936559100000002</v>
      </c>
      <c r="C316" t="s">
        <v>509</v>
      </c>
      <c r="D316" t="s">
        <v>33</v>
      </c>
      <c r="E316" t="s">
        <v>27</v>
      </c>
      <c r="G316" t="s">
        <v>28</v>
      </c>
      <c r="H316" t="s">
        <v>528</v>
      </c>
      <c r="I316" t="s">
        <v>25</v>
      </c>
    </row>
    <row r="317" spans="1:9" x14ac:dyDescent="0.2">
      <c r="A317" t="s">
        <v>529</v>
      </c>
      <c r="B317">
        <v>6.0139785000000001E-2</v>
      </c>
      <c r="C317" t="s">
        <v>509</v>
      </c>
      <c r="D317" t="s">
        <v>33</v>
      </c>
      <c r="E317" t="s">
        <v>27</v>
      </c>
      <c r="G317" t="s">
        <v>28</v>
      </c>
      <c r="H317" t="s">
        <v>530</v>
      </c>
      <c r="I317" t="s">
        <v>34</v>
      </c>
    </row>
    <row r="318" spans="1:9" x14ac:dyDescent="0.2">
      <c r="A318" t="s">
        <v>531</v>
      </c>
      <c r="B318">
        <v>4.9903226000000002E-2</v>
      </c>
      <c r="C318" t="s">
        <v>509</v>
      </c>
      <c r="D318" t="s">
        <v>26</v>
      </c>
      <c r="E318" t="s">
        <v>27</v>
      </c>
      <c r="G318" t="s">
        <v>28</v>
      </c>
      <c r="H318" t="s">
        <v>532</v>
      </c>
      <c r="I318" t="s">
        <v>25</v>
      </c>
    </row>
    <row r="320" spans="1:9" x14ac:dyDescent="0.2">
      <c r="A320" s="3" t="s">
        <v>4</v>
      </c>
      <c r="B320" s="3" t="s">
        <v>486</v>
      </c>
    </row>
    <row r="321" spans="1:9" x14ac:dyDescent="0.2">
      <c r="A321" t="s">
        <v>5</v>
      </c>
      <c r="B321" t="s">
        <v>26</v>
      </c>
    </row>
    <row r="322" spans="1:9" x14ac:dyDescent="0.2">
      <c r="A322" t="s">
        <v>6</v>
      </c>
      <c r="B322">
        <v>1</v>
      </c>
    </row>
    <row r="323" spans="1:9" x14ac:dyDescent="0.2">
      <c r="A323" t="s">
        <v>7</v>
      </c>
      <c r="B323" t="s">
        <v>487</v>
      </c>
    </row>
    <row r="324" spans="1:9" x14ac:dyDescent="0.2">
      <c r="A324" t="s">
        <v>8</v>
      </c>
      <c r="B324" t="s">
        <v>9</v>
      </c>
    </row>
    <row r="325" spans="1:9" x14ac:dyDescent="0.2">
      <c r="A325" t="s">
        <v>10</v>
      </c>
      <c r="B325" t="s">
        <v>27</v>
      </c>
    </row>
    <row r="326" spans="1:9" x14ac:dyDescent="0.2">
      <c r="A326" t="s">
        <v>11</v>
      </c>
      <c r="B326" t="s">
        <v>12</v>
      </c>
    </row>
    <row r="327" spans="1:9" x14ac:dyDescent="0.2">
      <c r="A327" t="s">
        <v>13</v>
      </c>
      <c r="B327" t="s">
        <v>537</v>
      </c>
    </row>
    <row r="328" spans="1:9" x14ac:dyDescent="0.2">
      <c r="A328" t="s">
        <v>14</v>
      </c>
    </row>
    <row r="329" spans="1:9" x14ac:dyDescent="0.2">
      <c r="A329" t="s">
        <v>16</v>
      </c>
    </row>
    <row r="330" spans="1:9" x14ac:dyDescent="0.2">
      <c r="A330" t="s">
        <v>17</v>
      </c>
    </row>
    <row r="331" spans="1:9" x14ac:dyDescent="0.2">
      <c r="A331" s="3" t="s">
        <v>18</v>
      </c>
    </row>
    <row r="332" spans="1:9" x14ac:dyDescent="0.2">
      <c r="A332" s="3" t="s">
        <v>19</v>
      </c>
      <c r="B332" s="3" t="s">
        <v>20</v>
      </c>
      <c r="C332" s="3" t="s">
        <v>21</v>
      </c>
      <c r="D332" s="3" t="s">
        <v>5</v>
      </c>
      <c r="E332" s="3" t="s">
        <v>10</v>
      </c>
      <c r="F332" s="3" t="s">
        <v>22</v>
      </c>
      <c r="G332" s="3" t="s">
        <v>8</v>
      </c>
      <c r="H332" s="3" t="s">
        <v>7</v>
      </c>
      <c r="I332" s="3" t="s">
        <v>23</v>
      </c>
    </row>
    <row r="333" spans="1:9" x14ac:dyDescent="0.2">
      <c r="A333" t="s">
        <v>55</v>
      </c>
      <c r="B333">
        <v>0.875</v>
      </c>
      <c r="C333" t="s">
        <v>509</v>
      </c>
      <c r="D333" t="s">
        <v>26</v>
      </c>
      <c r="E333" t="s">
        <v>27</v>
      </c>
      <c r="G333" t="s">
        <v>28</v>
      </c>
      <c r="H333" t="s">
        <v>55</v>
      </c>
      <c r="I333" t="s">
        <v>25</v>
      </c>
    </row>
    <row r="334" spans="1:9" x14ac:dyDescent="0.2">
      <c r="A334" t="s">
        <v>525</v>
      </c>
      <c r="B334">
        <v>0.875</v>
      </c>
      <c r="C334" t="s">
        <v>509</v>
      </c>
      <c r="D334" t="s">
        <v>33</v>
      </c>
      <c r="E334" t="s">
        <v>27</v>
      </c>
      <c r="G334" t="s">
        <v>28</v>
      </c>
      <c r="H334" t="s">
        <v>526</v>
      </c>
      <c r="I334" t="s">
        <v>25</v>
      </c>
    </row>
    <row r="335" spans="1:9" x14ac:dyDescent="0.2">
      <c r="A335" t="s">
        <v>508</v>
      </c>
      <c r="B335">
        <v>7.4999999999999997E-2</v>
      </c>
      <c r="C335" t="s">
        <v>509</v>
      </c>
      <c r="D335" t="s">
        <v>26</v>
      </c>
      <c r="E335" t="s">
        <v>27</v>
      </c>
      <c r="G335" t="s">
        <v>28</v>
      </c>
      <c r="H335" t="s">
        <v>510</v>
      </c>
      <c r="I335" t="s">
        <v>34</v>
      </c>
    </row>
    <row r="336" spans="1:9" x14ac:dyDescent="0.2">
      <c r="A336" t="s">
        <v>529</v>
      </c>
      <c r="B336">
        <v>0.05</v>
      </c>
      <c r="C336" t="s">
        <v>509</v>
      </c>
      <c r="D336" t="s">
        <v>33</v>
      </c>
      <c r="E336" t="s">
        <v>27</v>
      </c>
      <c r="G336" t="s">
        <v>28</v>
      </c>
      <c r="H336" t="s">
        <v>530</v>
      </c>
      <c r="I336" t="s">
        <v>34</v>
      </c>
    </row>
    <row r="337" spans="1:9" x14ac:dyDescent="0.2">
      <c r="A337" t="s">
        <v>486</v>
      </c>
      <c r="B337">
        <v>1</v>
      </c>
      <c r="C337" t="s">
        <v>509</v>
      </c>
      <c r="D337" t="s">
        <v>26</v>
      </c>
      <c r="E337" t="s">
        <v>27</v>
      </c>
      <c r="G337" t="s">
        <v>24</v>
      </c>
      <c r="H337" t="s">
        <v>487</v>
      </c>
      <c r="I337" t="s">
        <v>25</v>
      </c>
    </row>
    <row r="339" spans="1:9" ht="16" x14ac:dyDescent="0.2">
      <c r="A339" s="1" t="s">
        <v>4</v>
      </c>
      <c r="B339" s="1" t="s">
        <v>45</v>
      </c>
    </row>
    <row r="340" spans="1:9" x14ac:dyDescent="0.2">
      <c r="A340" t="s">
        <v>5</v>
      </c>
      <c r="B340" t="s">
        <v>33</v>
      </c>
    </row>
    <row r="341" spans="1:9" x14ac:dyDescent="0.2">
      <c r="A341" t="s">
        <v>6</v>
      </c>
      <c r="B341">
        <v>1</v>
      </c>
    </row>
    <row r="342" spans="1:9" x14ac:dyDescent="0.2">
      <c r="A342" t="s">
        <v>7</v>
      </c>
      <c r="B342" t="s">
        <v>45</v>
      </c>
    </row>
    <row r="343" spans="1:9" x14ac:dyDescent="0.2">
      <c r="A343" t="s">
        <v>8</v>
      </c>
      <c r="B343" t="s">
        <v>9</v>
      </c>
    </row>
    <row r="344" spans="1:9" x14ac:dyDescent="0.2">
      <c r="A344" t="s">
        <v>10</v>
      </c>
      <c r="B344" t="s">
        <v>10</v>
      </c>
    </row>
    <row r="345" spans="1:9" x14ac:dyDescent="0.2">
      <c r="A345" t="s">
        <v>11</v>
      </c>
      <c r="B345" t="s">
        <v>12</v>
      </c>
    </row>
    <row r="346" spans="1:9" x14ac:dyDescent="0.2">
      <c r="A346" t="s">
        <v>13</v>
      </c>
      <c r="B346" t="s">
        <v>46</v>
      </c>
    </row>
    <row r="347" spans="1:9" x14ac:dyDescent="0.2">
      <c r="A347" t="s">
        <v>14</v>
      </c>
      <c r="B347" t="s">
        <v>15</v>
      </c>
    </row>
    <row r="348" spans="1:9" x14ac:dyDescent="0.2">
      <c r="A348" t="s">
        <v>16</v>
      </c>
      <c r="B348" t="s">
        <v>15</v>
      </c>
    </row>
    <row r="349" spans="1:9" x14ac:dyDescent="0.2">
      <c r="A349" t="s">
        <v>17</v>
      </c>
      <c r="B349" t="s">
        <v>15</v>
      </c>
    </row>
    <row r="350" spans="1:9" ht="16" x14ac:dyDescent="0.2">
      <c r="A350" s="1" t="s">
        <v>18</v>
      </c>
    </row>
    <row r="351" spans="1:9" x14ac:dyDescent="0.2">
      <c r="A351" t="s">
        <v>19</v>
      </c>
      <c r="B351" t="s">
        <v>20</v>
      </c>
      <c r="C351" t="s">
        <v>21</v>
      </c>
      <c r="D351" t="s">
        <v>5</v>
      </c>
      <c r="E351" t="s">
        <v>10</v>
      </c>
      <c r="F351" t="s">
        <v>22</v>
      </c>
      <c r="G351" t="s">
        <v>8</v>
      </c>
      <c r="H351" t="s">
        <v>7</v>
      </c>
      <c r="I351" t="s">
        <v>23</v>
      </c>
    </row>
    <row r="352" spans="1:9" x14ac:dyDescent="0.2">
      <c r="A352" t="s">
        <v>45</v>
      </c>
      <c r="B352">
        <v>1</v>
      </c>
      <c r="C352" t="s">
        <v>1</v>
      </c>
      <c r="D352" t="s">
        <v>33</v>
      </c>
      <c r="E352" t="s">
        <v>10</v>
      </c>
      <c r="F352" t="s">
        <v>15</v>
      </c>
      <c r="G352" t="s">
        <v>24</v>
      </c>
      <c r="H352" t="s">
        <v>45</v>
      </c>
      <c r="I352" t="s">
        <v>29</v>
      </c>
    </row>
    <row r="353" spans="1:9" x14ac:dyDescent="0.2">
      <c r="A353" t="s">
        <v>47</v>
      </c>
      <c r="B353">
        <v>220</v>
      </c>
      <c r="C353" t="s">
        <v>1</v>
      </c>
      <c r="D353" t="s">
        <v>33</v>
      </c>
      <c r="E353" t="s">
        <v>27</v>
      </c>
      <c r="F353" t="s">
        <v>15</v>
      </c>
      <c r="G353" t="s">
        <v>28</v>
      </c>
      <c r="H353" t="s">
        <v>48</v>
      </c>
      <c r="I353" t="s">
        <v>25</v>
      </c>
    </row>
    <row r="354" spans="1:9" x14ac:dyDescent="0.2">
      <c r="A354" t="s">
        <v>49</v>
      </c>
      <c r="B354">
        <v>220</v>
      </c>
      <c r="C354" t="s">
        <v>1</v>
      </c>
      <c r="D354" t="s">
        <v>33</v>
      </c>
      <c r="E354" t="s">
        <v>27</v>
      </c>
      <c r="F354" t="s">
        <v>15</v>
      </c>
      <c r="G354" t="s">
        <v>28</v>
      </c>
      <c r="H354" t="s">
        <v>50</v>
      </c>
      <c r="I354" t="s">
        <v>25</v>
      </c>
    </row>
    <row r="355" spans="1:9" x14ac:dyDescent="0.2">
      <c r="A355" t="s">
        <v>51</v>
      </c>
      <c r="B355">
        <v>12.5</v>
      </c>
      <c r="C355" t="s">
        <v>1</v>
      </c>
      <c r="D355" t="s">
        <v>33</v>
      </c>
      <c r="E355" t="s">
        <v>52</v>
      </c>
      <c r="F355" t="s">
        <v>15</v>
      </c>
      <c r="G355" t="s">
        <v>28</v>
      </c>
      <c r="H355" t="s">
        <v>53</v>
      </c>
      <c r="I355" t="s">
        <v>25</v>
      </c>
    </row>
    <row r="356" spans="1:9" x14ac:dyDescent="0.2">
      <c r="A356" t="s">
        <v>497</v>
      </c>
      <c r="B356">
        <v>22</v>
      </c>
      <c r="C356" t="s">
        <v>1</v>
      </c>
      <c r="D356" t="s">
        <v>37</v>
      </c>
      <c r="E356" t="s">
        <v>38</v>
      </c>
      <c r="F356" t="s">
        <v>15</v>
      </c>
      <c r="G356" t="s">
        <v>28</v>
      </c>
      <c r="H356" t="s">
        <v>498</v>
      </c>
      <c r="I356" t="s">
        <v>25</v>
      </c>
    </row>
    <row r="358" spans="1:9" ht="16" x14ac:dyDescent="0.2">
      <c r="A358" s="1" t="s">
        <v>4</v>
      </c>
      <c r="B358" s="1" t="s">
        <v>452</v>
      </c>
    </row>
    <row r="359" spans="1:9" x14ac:dyDescent="0.2">
      <c r="A359" t="s">
        <v>5</v>
      </c>
      <c r="B359" t="s">
        <v>26</v>
      </c>
    </row>
    <row r="360" spans="1:9" x14ac:dyDescent="0.2">
      <c r="A360" t="s">
        <v>6</v>
      </c>
      <c r="B360">
        <v>1</v>
      </c>
    </row>
    <row r="361" spans="1:9" x14ac:dyDescent="0.2">
      <c r="A361" t="s">
        <v>7</v>
      </c>
      <c r="B361" t="s">
        <v>65</v>
      </c>
    </row>
    <row r="362" spans="1:9" x14ac:dyDescent="0.2">
      <c r="A362" t="s">
        <v>8</v>
      </c>
      <c r="B362" t="s">
        <v>9</v>
      </c>
    </row>
    <row r="363" spans="1:9" x14ac:dyDescent="0.2">
      <c r="A363" t="s">
        <v>10</v>
      </c>
      <c r="B363" t="s">
        <v>10</v>
      </c>
    </row>
    <row r="364" spans="1:9" x14ac:dyDescent="0.2">
      <c r="A364" t="s">
        <v>11</v>
      </c>
      <c r="B364" t="s">
        <v>12</v>
      </c>
    </row>
    <row r="365" spans="1:9" x14ac:dyDescent="0.2">
      <c r="A365" t="s">
        <v>13</v>
      </c>
      <c r="B365" t="s">
        <v>291</v>
      </c>
    </row>
    <row r="366" spans="1:9" x14ac:dyDescent="0.2">
      <c r="A366" t="s">
        <v>14</v>
      </c>
      <c r="B366" t="s">
        <v>271</v>
      </c>
    </row>
    <row r="367" spans="1:9" x14ac:dyDescent="0.2">
      <c r="A367" t="s">
        <v>16</v>
      </c>
      <c r="B367" t="s">
        <v>15</v>
      </c>
    </row>
    <row r="368" spans="1:9" x14ac:dyDescent="0.2">
      <c r="A368" t="s">
        <v>17</v>
      </c>
      <c r="B368" t="s">
        <v>64</v>
      </c>
    </row>
    <row r="369" spans="1:9" ht="16" x14ac:dyDescent="0.2">
      <c r="A369" s="1" t="s">
        <v>18</v>
      </c>
    </row>
    <row r="370" spans="1:9" x14ac:dyDescent="0.2">
      <c r="A370" t="s">
        <v>19</v>
      </c>
      <c r="B370" t="s">
        <v>20</v>
      </c>
      <c r="C370" t="s">
        <v>21</v>
      </c>
      <c r="D370" t="s">
        <v>5</v>
      </c>
      <c r="E370" t="s">
        <v>10</v>
      </c>
      <c r="F370" t="s">
        <v>22</v>
      </c>
      <c r="G370" t="s">
        <v>8</v>
      </c>
      <c r="H370" t="s">
        <v>7</v>
      </c>
      <c r="I370" t="s">
        <v>23</v>
      </c>
    </row>
    <row r="371" spans="1:9" x14ac:dyDescent="0.2">
      <c r="A371" t="s">
        <v>61</v>
      </c>
      <c r="B371">
        <v>155</v>
      </c>
      <c r="C371" t="s">
        <v>1</v>
      </c>
      <c r="D371" t="s">
        <v>33</v>
      </c>
      <c r="E371" t="s">
        <v>27</v>
      </c>
      <c r="F371" t="s">
        <v>15</v>
      </c>
      <c r="G371" t="s">
        <v>28</v>
      </c>
      <c r="H371" t="s">
        <v>61</v>
      </c>
      <c r="I371" t="s">
        <v>62</v>
      </c>
    </row>
    <row r="372" spans="1:9" x14ac:dyDescent="0.2">
      <c r="A372" t="s">
        <v>272</v>
      </c>
      <c r="B372">
        <v>1550</v>
      </c>
      <c r="C372" t="s">
        <v>1</v>
      </c>
      <c r="D372" t="s">
        <v>33</v>
      </c>
      <c r="E372" t="s">
        <v>27</v>
      </c>
      <c r="F372" t="s">
        <v>15</v>
      </c>
      <c r="G372" t="s">
        <v>28</v>
      </c>
      <c r="H372" t="s">
        <v>273</v>
      </c>
      <c r="I372" t="s">
        <v>62</v>
      </c>
    </row>
    <row r="373" spans="1:9" x14ac:dyDescent="0.2">
      <c r="A373" t="s">
        <v>274</v>
      </c>
      <c r="B373">
        <v>297.84082999999998</v>
      </c>
      <c r="C373" t="s">
        <v>1</v>
      </c>
      <c r="D373" t="s">
        <v>33</v>
      </c>
      <c r="E373" t="s">
        <v>27</v>
      </c>
      <c r="F373" t="s">
        <v>15</v>
      </c>
      <c r="G373" t="s">
        <v>28</v>
      </c>
      <c r="H373" t="s">
        <v>500</v>
      </c>
      <c r="I373" t="s">
        <v>275</v>
      </c>
    </row>
    <row r="374" spans="1:9" x14ac:dyDescent="0.2">
      <c r="A374" t="s">
        <v>60</v>
      </c>
      <c r="B374">
        <v>63.599999999999987</v>
      </c>
      <c r="C374" t="s">
        <v>1</v>
      </c>
      <c r="D374" t="s">
        <v>26</v>
      </c>
      <c r="E374" t="s">
        <v>27</v>
      </c>
      <c r="F374" t="s">
        <v>15</v>
      </c>
      <c r="G374" t="s">
        <v>28</v>
      </c>
      <c r="H374" t="s">
        <v>54</v>
      </c>
      <c r="I374" t="s">
        <v>34</v>
      </c>
    </row>
    <row r="375" spans="1:9" x14ac:dyDescent="0.2">
      <c r="A375" t="s">
        <v>276</v>
      </c>
      <c r="B375">
        <v>-1458.6</v>
      </c>
      <c r="C375" t="s">
        <v>1</v>
      </c>
      <c r="D375" t="s">
        <v>33</v>
      </c>
      <c r="E375" t="s">
        <v>27</v>
      </c>
      <c r="F375" t="s">
        <v>15</v>
      </c>
      <c r="G375" t="s">
        <v>28</v>
      </c>
      <c r="H375" t="s">
        <v>277</v>
      </c>
      <c r="I375" t="s">
        <v>25</v>
      </c>
    </row>
    <row r="376" spans="1:9" x14ac:dyDescent="0.2">
      <c r="A376" t="s">
        <v>501</v>
      </c>
      <c r="B376">
        <v>-297.84082999999998</v>
      </c>
      <c r="C376" t="s">
        <v>1</v>
      </c>
      <c r="D376" t="s">
        <v>33</v>
      </c>
      <c r="E376" t="s">
        <v>27</v>
      </c>
      <c r="F376" t="s">
        <v>15</v>
      </c>
      <c r="G376" t="s">
        <v>28</v>
      </c>
      <c r="H376" t="s">
        <v>502</v>
      </c>
      <c r="I376" t="s">
        <v>25</v>
      </c>
    </row>
    <row r="377" spans="1:9" x14ac:dyDescent="0.2">
      <c r="A377" t="s">
        <v>452</v>
      </c>
      <c r="B377">
        <v>1</v>
      </c>
      <c r="C377" t="s">
        <v>1</v>
      </c>
      <c r="D377" t="s">
        <v>26</v>
      </c>
      <c r="E377" t="s">
        <v>10</v>
      </c>
      <c r="F377" t="s">
        <v>15</v>
      </c>
      <c r="G377" t="s">
        <v>24</v>
      </c>
      <c r="H377" t="s">
        <v>65</v>
      </c>
      <c r="I377" t="s">
        <v>25</v>
      </c>
    </row>
    <row r="379" spans="1:9" ht="16" x14ac:dyDescent="0.2">
      <c r="A379" s="1" t="s">
        <v>4</v>
      </c>
      <c r="B379" s="1" t="s">
        <v>428</v>
      </c>
    </row>
    <row r="380" spans="1:9" x14ac:dyDescent="0.2">
      <c r="A380" t="s">
        <v>5</v>
      </c>
      <c r="B380" t="s">
        <v>26</v>
      </c>
    </row>
    <row r="381" spans="1:9" x14ac:dyDescent="0.2">
      <c r="A381" t="s">
        <v>6</v>
      </c>
      <c r="B381">
        <v>1</v>
      </c>
    </row>
    <row r="382" spans="1:9" x14ac:dyDescent="0.2">
      <c r="A382" t="s">
        <v>7</v>
      </c>
      <c r="B382" t="s">
        <v>67</v>
      </c>
    </row>
    <row r="383" spans="1:9" x14ac:dyDescent="0.2">
      <c r="A383" t="s">
        <v>8</v>
      </c>
      <c r="B383" t="s">
        <v>9</v>
      </c>
    </row>
    <row r="384" spans="1:9" x14ac:dyDescent="0.2">
      <c r="A384" t="s">
        <v>10</v>
      </c>
      <c r="B384" t="s">
        <v>10</v>
      </c>
    </row>
    <row r="385" spans="1:9" x14ac:dyDescent="0.2">
      <c r="A385" t="s">
        <v>11</v>
      </c>
      <c r="B385" t="s">
        <v>12</v>
      </c>
    </row>
    <row r="386" spans="1:9" x14ac:dyDescent="0.2">
      <c r="A386" t="s">
        <v>13</v>
      </c>
      <c r="B386" t="s">
        <v>291</v>
      </c>
    </row>
    <row r="387" spans="1:9" x14ac:dyDescent="0.2">
      <c r="A387" t="s">
        <v>14</v>
      </c>
      <c r="B387" t="s">
        <v>271</v>
      </c>
    </row>
    <row r="388" spans="1:9" x14ac:dyDescent="0.2">
      <c r="A388" t="s">
        <v>16</v>
      </c>
      <c r="B388" t="s">
        <v>15</v>
      </c>
    </row>
    <row r="389" spans="1:9" x14ac:dyDescent="0.2">
      <c r="A389" t="s">
        <v>17</v>
      </c>
      <c r="B389" t="s">
        <v>66</v>
      </c>
    </row>
    <row r="390" spans="1:9" ht="16" x14ac:dyDescent="0.2">
      <c r="A390" s="1" t="s">
        <v>18</v>
      </c>
    </row>
    <row r="391" spans="1:9" x14ac:dyDescent="0.2">
      <c r="A391" t="s">
        <v>19</v>
      </c>
      <c r="B391" t="s">
        <v>20</v>
      </c>
      <c r="C391" t="s">
        <v>21</v>
      </c>
      <c r="D391" t="s">
        <v>5</v>
      </c>
      <c r="E391" t="s">
        <v>10</v>
      </c>
      <c r="F391" t="s">
        <v>22</v>
      </c>
      <c r="G391" t="s">
        <v>8</v>
      </c>
      <c r="H391" t="s">
        <v>7</v>
      </c>
      <c r="I391" t="s">
        <v>23</v>
      </c>
    </row>
    <row r="392" spans="1:9" x14ac:dyDescent="0.2">
      <c r="A392" t="s">
        <v>61</v>
      </c>
      <c r="B392">
        <v>155</v>
      </c>
      <c r="C392" t="s">
        <v>1</v>
      </c>
      <c r="D392" t="s">
        <v>33</v>
      </c>
      <c r="E392" t="s">
        <v>27</v>
      </c>
      <c r="F392" t="s">
        <v>15</v>
      </c>
      <c r="G392" t="s">
        <v>28</v>
      </c>
      <c r="H392" t="s">
        <v>61</v>
      </c>
      <c r="I392" t="s">
        <v>62</v>
      </c>
    </row>
    <row r="393" spans="1:9" x14ac:dyDescent="0.2">
      <c r="A393" t="s">
        <v>272</v>
      </c>
      <c r="B393">
        <v>1550</v>
      </c>
      <c r="C393" t="s">
        <v>1</v>
      </c>
      <c r="D393" t="s">
        <v>33</v>
      </c>
      <c r="E393" t="s">
        <v>27</v>
      </c>
      <c r="F393" t="s">
        <v>15</v>
      </c>
      <c r="G393" t="s">
        <v>28</v>
      </c>
      <c r="H393" t="s">
        <v>273</v>
      </c>
      <c r="I393" t="s">
        <v>62</v>
      </c>
    </row>
    <row r="394" spans="1:9" x14ac:dyDescent="0.2">
      <c r="A394" t="s">
        <v>274</v>
      </c>
      <c r="B394">
        <v>296.68996416666658</v>
      </c>
      <c r="C394" t="s">
        <v>1</v>
      </c>
      <c r="D394" t="s">
        <v>33</v>
      </c>
      <c r="E394" t="s">
        <v>27</v>
      </c>
      <c r="F394" t="s">
        <v>15</v>
      </c>
      <c r="G394" t="s">
        <v>28</v>
      </c>
      <c r="H394" t="s">
        <v>500</v>
      </c>
      <c r="I394" t="s">
        <v>275</v>
      </c>
    </row>
    <row r="395" spans="1:9" x14ac:dyDescent="0.2">
      <c r="A395" t="s">
        <v>60</v>
      </c>
      <c r="B395">
        <v>58.74166666666666</v>
      </c>
      <c r="C395" t="s">
        <v>1</v>
      </c>
      <c r="D395" t="s">
        <v>26</v>
      </c>
      <c r="E395" t="s">
        <v>27</v>
      </c>
      <c r="F395" t="s">
        <v>15</v>
      </c>
      <c r="G395" t="s">
        <v>28</v>
      </c>
      <c r="H395" t="s">
        <v>54</v>
      </c>
      <c r="I395" t="s">
        <v>34</v>
      </c>
    </row>
    <row r="396" spans="1:9" x14ac:dyDescent="0.2">
      <c r="A396" t="s">
        <v>276</v>
      </c>
      <c r="B396">
        <v>-1453.741666666667</v>
      </c>
      <c r="C396" t="s">
        <v>1</v>
      </c>
      <c r="D396" t="s">
        <v>33</v>
      </c>
      <c r="E396" t="s">
        <v>27</v>
      </c>
      <c r="F396" t="s">
        <v>15</v>
      </c>
      <c r="G396" t="s">
        <v>28</v>
      </c>
      <c r="H396" t="s">
        <v>277</v>
      </c>
      <c r="I396" t="s">
        <v>25</v>
      </c>
    </row>
    <row r="397" spans="1:9" x14ac:dyDescent="0.2">
      <c r="A397" t="s">
        <v>501</v>
      </c>
      <c r="B397">
        <v>-296.68996416666658</v>
      </c>
      <c r="C397" t="s">
        <v>1</v>
      </c>
      <c r="D397" t="s">
        <v>33</v>
      </c>
      <c r="E397" t="s">
        <v>27</v>
      </c>
      <c r="F397" t="s">
        <v>15</v>
      </c>
      <c r="G397" t="s">
        <v>28</v>
      </c>
      <c r="H397" t="s">
        <v>502</v>
      </c>
      <c r="I397" t="s">
        <v>25</v>
      </c>
    </row>
    <row r="398" spans="1:9" x14ac:dyDescent="0.2">
      <c r="A398" t="s">
        <v>428</v>
      </c>
      <c r="B398">
        <v>1</v>
      </c>
      <c r="C398" t="s">
        <v>1</v>
      </c>
      <c r="D398" t="s">
        <v>26</v>
      </c>
      <c r="E398" t="s">
        <v>10</v>
      </c>
      <c r="F398" t="s">
        <v>15</v>
      </c>
      <c r="G398" t="s">
        <v>24</v>
      </c>
      <c r="H398" t="s">
        <v>67</v>
      </c>
      <c r="I398" t="s">
        <v>25</v>
      </c>
    </row>
    <row r="400" spans="1:9" ht="16" x14ac:dyDescent="0.2">
      <c r="A400" s="1" t="s">
        <v>4</v>
      </c>
      <c r="B400" s="1" t="s">
        <v>404</v>
      </c>
    </row>
    <row r="401" spans="1:9" x14ac:dyDescent="0.2">
      <c r="A401" t="s">
        <v>5</v>
      </c>
      <c r="B401" t="s">
        <v>26</v>
      </c>
    </row>
    <row r="402" spans="1:9" x14ac:dyDescent="0.2">
      <c r="A402" t="s">
        <v>6</v>
      </c>
      <c r="B402">
        <v>1</v>
      </c>
    </row>
    <row r="403" spans="1:9" x14ac:dyDescent="0.2">
      <c r="A403" t="s">
        <v>7</v>
      </c>
      <c r="B403" t="s">
        <v>69</v>
      </c>
    </row>
    <row r="404" spans="1:9" x14ac:dyDescent="0.2">
      <c r="A404" t="s">
        <v>8</v>
      </c>
      <c r="B404" t="s">
        <v>9</v>
      </c>
    </row>
    <row r="405" spans="1:9" x14ac:dyDescent="0.2">
      <c r="A405" t="s">
        <v>10</v>
      </c>
      <c r="B405" t="s">
        <v>10</v>
      </c>
    </row>
    <row r="406" spans="1:9" x14ac:dyDescent="0.2">
      <c r="A406" t="s">
        <v>11</v>
      </c>
      <c r="B406" t="s">
        <v>12</v>
      </c>
    </row>
    <row r="407" spans="1:9" x14ac:dyDescent="0.2">
      <c r="A407" t="s">
        <v>13</v>
      </c>
      <c r="B407" t="s">
        <v>291</v>
      </c>
    </row>
    <row r="408" spans="1:9" x14ac:dyDescent="0.2">
      <c r="A408" t="s">
        <v>14</v>
      </c>
      <c r="B408" t="s">
        <v>271</v>
      </c>
    </row>
    <row r="409" spans="1:9" x14ac:dyDescent="0.2">
      <c r="A409" t="s">
        <v>16</v>
      </c>
      <c r="B409" t="s">
        <v>15</v>
      </c>
    </row>
    <row r="410" spans="1:9" x14ac:dyDescent="0.2">
      <c r="A410" t="s">
        <v>17</v>
      </c>
      <c r="B410" t="s">
        <v>68</v>
      </c>
    </row>
    <row r="411" spans="1:9" ht="16" x14ac:dyDescent="0.2">
      <c r="A411" s="1" t="s">
        <v>18</v>
      </c>
    </row>
    <row r="412" spans="1:9" x14ac:dyDescent="0.2">
      <c r="A412" t="s">
        <v>19</v>
      </c>
      <c r="B412" t="s">
        <v>20</v>
      </c>
      <c r="C412" t="s">
        <v>21</v>
      </c>
      <c r="D412" t="s">
        <v>5</v>
      </c>
      <c r="E412" t="s">
        <v>10</v>
      </c>
      <c r="F412" t="s">
        <v>22</v>
      </c>
      <c r="G412" t="s">
        <v>8</v>
      </c>
      <c r="H412" t="s">
        <v>7</v>
      </c>
      <c r="I412" t="s">
        <v>23</v>
      </c>
    </row>
    <row r="413" spans="1:9" x14ac:dyDescent="0.2">
      <c r="A413" t="s">
        <v>61</v>
      </c>
      <c r="B413">
        <v>155</v>
      </c>
      <c r="C413" t="s">
        <v>1</v>
      </c>
      <c r="D413" t="s">
        <v>33</v>
      </c>
      <c r="E413" t="s">
        <v>27</v>
      </c>
      <c r="F413" t="s">
        <v>15</v>
      </c>
      <c r="G413" t="s">
        <v>28</v>
      </c>
      <c r="H413" t="s">
        <v>61</v>
      </c>
      <c r="I413" t="s">
        <v>62</v>
      </c>
    </row>
    <row r="414" spans="1:9" x14ac:dyDescent="0.2">
      <c r="A414" t="s">
        <v>272</v>
      </c>
      <c r="B414">
        <v>1550</v>
      </c>
      <c r="C414" t="s">
        <v>1</v>
      </c>
      <c r="D414" t="s">
        <v>33</v>
      </c>
      <c r="E414" t="s">
        <v>27</v>
      </c>
      <c r="F414" t="s">
        <v>15</v>
      </c>
      <c r="G414" t="s">
        <v>28</v>
      </c>
      <c r="H414" t="s">
        <v>273</v>
      </c>
      <c r="I414" t="s">
        <v>62</v>
      </c>
    </row>
    <row r="415" spans="1:9" x14ac:dyDescent="0.2">
      <c r="A415" t="s">
        <v>274</v>
      </c>
      <c r="B415">
        <v>295.5390983333333</v>
      </c>
      <c r="C415" t="s">
        <v>1</v>
      </c>
      <c r="D415" t="s">
        <v>33</v>
      </c>
      <c r="E415" t="s">
        <v>27</v>
      </c>
      <c r="F415" t="s">
        <v>15</v>
      </c>
      <c r="G415" t="s">
        <v>28</v>
      </c>
      <c r="H415" t="s">
        <v>500</v>
      </c>
      <c r="I415" t="s">
        <v>275</v>
      </c>
    </row>
    <row r="416" spans="1:9" x14ac:dyDescent="0.2">
      <c r="A416" t="s">
        <v>60</v>
      </c>
      <c r="B416">
        <v>53.883333333333333</v>
      </c>
      <c r="C416" t="s">
        <v>1</v>
      </c>
      <c r="D416" t="s">
        <v>26</v>
      </c>
      <c r="E416" t="s">
        <v>27</v>
      </c>
      <c r="F416" t="s">
        <v>15</v>
      </c>
      <c r="G416" t="s">
        <v>28</v>
      </c>
      <c r="H416" t="s">
        <v>54</v>
      </c>
      <c r="I416" t="s">
        <v>34</v>
      </c>
    </row>
    <row r="417" spans="1:9" x14ac:dyDescent="0.2">
      <c r="A417" t="s">
        <v>276</v>
      </c>
      <c r="B417">
        <v>-1448.883333333333</v>
      </c>
      <c r="C417" t="s">
        <v>1</v>
      </c>
      <c r="D417" t="s">
        <v>33</v>
      </c>
      <c r="E417" t="s">
        <v>27</v>
      </c>
      <c r="F417" t="s">
        <v>15</v>
      </c>
      <c r="G417" t="s">
        <v>28</v>
      </c>
      <c r="H417" t="s">
        <v>277</v>
      </c>
      <c r="I417" t="s">
        <v>25</v>
      </c>
    </row>
    <row r="418" spans="1:9" x14ac:dyDescent="0.2">
      <c r="A418" t="s">
        <v>501</v>
      </c>
      <c r="B418">
        <v>-295.5390983333333</v>
      </c>
      <c r="C418" t="s">
        <v>1</v>
      </c>
      <c r="D418" t="s">
        <v>33</v>
      </c>
      <c r="E418" t="s">
        <v>27</v>
      </c>
      <c r="F418" t="s">
        <v>15</v>
      </c>
      <c r="G418" t="s">
        <v>28</v>
      </c>
      <c r="H418" t="s">
        <v>502</v>
      </c>
      <c r="I418" t="s">
        <v>25</v>
      </c>
    </row>
    <row r="419" spans="1:9" x14ac:dyDescent="0.2">
      <c r="A419" t="s">
        <v>404</v>
      </c>
      <c r="B419">
        <v>1</v>
      </c>
      <c r="C419" t="s">
        <v>1</v>
      </c>
      <c r="D419" t="s">
        <v>26</v>
      </c>
      <c r="E419" t="s">
        <v>10</v>
      </c>
      <c r="F419" t="s">
        <v>15</v>
      </c>
      <c r="G419" t="s">
        <v>24</v>
      </c>
      <c r="H419" t="s">
        <v>69</v>
      </c>
      <c r="I419" t="s">
        <v>25</v>
      </c>
    </row>
    <row r="421" spans="1:9" ht="16" x14ac:dyDescent="0.2">
      <c r="A421" s="1" t="s">
        <v>4</v>
      </c>
      <c r="B421" s="1" t="s">
        <v>348</v>
      </c>
    </row>
    <row r="422" spans="1:9" x14ac:dyDescent="0.2">
      <c r="A422" t="s">
        <v>5</v>
      </c>
      <c r="B422" t="s">
        <v>26</v>
      </c>
    </row>
    <row r="423" spans="1:9" x14ac:dyDescent="0.2">
      <c r="A423" t="s">
        <v>6</v>
      </c>
      <c r="B423">
        <v>1</v>
      </c>
    </row>
    <row r="424" spans="1:9" x14ac:dyDescent="0.2">
      <c r="A424" t="s">
        <v>7</v>
      </c>
      <c r="B424" t="s">
        <v>71</v>
      </c>
    </row>
    <row r="425" spans="1:9" x14ac:dyDescent="0.2">
      <c r="A425" t="s">
        <v>8</v>
      </c>
      <c r="B425" t="s">
        <v>9</v>
      </c>
    </row>
    <row r="426" spans="1:9" x14ac:dyDescent="0.2">
      <c r="A426" t="s">
        <v>10</v>
      </c>
      <c r="B426" t="s">
        <v>10</v>
      </c>
    </row>
    <row r="427" spans="1:9" x14ac:dyDescent="0.2">
      <c r="A427" t="s">
        <v>11</v>
      </c>
      <c r="B427" t="s">
        <v>12</v>
      </c>
    </row>
    <row r="428" spans="1:9" x14ac:dyDescent="0.2">
      <c r="A428" t="s">
        <v>13</v>
      </c>
      <c r="B428" t="s">
        <v>291</v>
      </c>
    </row>
    <row r="429" spans="1:9" x14ac:dyDescent="0.2">
      <c r="A429" t="s">
        <v>14</v>
      </c>
      <c r="B429" t="s">
        <v>271</v>
      </c>
    </row>
    <row r="430" spans="1:9" x14ac:dyDescent="0.2">
      <c r="A430" t="s">
        <v>16</v>
      </c>
      <c r="B430" t="s">
        <v>15</v>
      </c>
    </row>
    <row r="431" spans="1:9" x14ac:dyDescent="0.2">
      <c r="A431" t="s">
        <v>17</v>
      </c>
      <c r="B431" t="s">
        <v>70</v>
      </c>
    </row>
    <row r="432" spans="1:9" ht="16" x14ac:dyDescent="0.2">
      <c r="A432" s="1" t="s">
        <v>18</v>
      </c>
    </row>
    <row r="433" spans="1:9" x14ac:dyDescent="0.2">
      <c r="A433" t="s">
        <v>19</v>
      </c>
      <c r="B433" t="s">
        <v>20</v>
      </c>
      <c r="C433" t="s">
        <v>21</v>
      </c>
      <c r="D433" t="s">
        <v>5</v>
      </c>
      <c r="E433" t="s">
        <v>10</v>
      </c>
      <c r="F433" t="s">
        <v>22</v>
      </c>
      <c r="G433" t="s">
        <v>8</v>
      </c>
      <c r="H433" t="s">
        <v>7</v>
      </c>
      <c r="I433" t="s">
        <v>23</v>
      </c>
    </row>
    <row r="434" spans="1:9" x14ac:dyDescent="0.2">
      <c r="A434" t="s">
        <v>61</v>
      </c>
      <c r="B434">
        <v>160.054347826087</v>
      </c>
      <c r="C434" t="s">
        <v>1</v>
      </c>
      <c r="D434" t="s">
        <v>33</v>
      </c>
      <c r="E434" t="s">
        <v>27</v>
      </c>
      <c r="F434" t="s">
        <v>15</v>
      </c>
      <c r="G434" t="s">
        <v>28</v>
      </c>
      <c r="H434" t="s">
        <v>61</v>
      </c>
      <c r="I434" t="s">
        <v>62</v>
      </c>
    </row>
    <row r="435" spans="1:9" x14ac:dyDescent="0.2">
      <c r="A435" t="s">
        <v>272</v>
      </c>
      <c r="B435">
        <v>1550</v>
      </c>
      <c r="C435" t="s">
        <v>1</v>
      </c>
      <c r="D435" t="s">
        <v>33</v>
      </c>
      <c r="E435" t="s">
        <v>27</v>
      </c>
      <c r="F435" t="s">
        <v>15</v>
      </c>
      <c r="G435" t="s">
        <v>28</v>
      </c>
      <c r="H435" t="s">
        <v>273</v>
      </c>
      <c r="I435" t="s">
        <v>62</v>
      </c>
    </row>
    <row r="436" spans="1:9" x14ac:dyDescent="0.2">
      <c r="A436" t="s">
        <v>274</v>
      </c>
      <c r="B436">
        <v>292.22442147927683</v>
      </c>
      <c r="C436" t="s">
        <v>1</v>
      </c>
      <c r="D436" t="s">
        <v>33</v>
      </c>
      <c r="E436" t="s">
        <v>27</v>
      </c>
      <c r="F436" t="s">
        <v>15</v>
      </c>
      <c r="G436" t="s">
        <v>28</v>
      </c>
      <c r="H436" t="s">
        <v>500</v>
      </c>
      <c r="I436" t="s">
        <v>275</v>
      </c>
    </row>
    <row r="437" spans="1:9" x14ac:dyDescent="0.2">
      <c r="A437" t="s">
        <v>60</v>
      </c>
      <c r="B437">
        <v>51.233333333333327</v>
      </c>
      <c r="C437" t="s">
        <v>1</v>
      </c>
      <c r="D437" t="s">
        <v>26</v>
      </c>
      <c r="E437" t="s">
        <v>27</v>
      </c>
      <c r="F437" t="s">
        <v>15</v>
      </c>
      <c r="G437" t="s">
        <v>28</v>
      </c>
      <c r="H437" t="s">
        <v>54</v>
      </c>
      <c r="I437" t="s">
        <v>34</v>
      </c>
    </row>
    <row r="438" spans="1:9" x14ac:dyDescent="0.2">
      <c r="A438" t="s">
        <v>276</v>
      </c>
      <c r="B438">
        <v>-1441.1789855072459</v>
      </c>
      <c r="C438" t="s">
        <v>1</v>
      </c>
      <c r="D438" t="s">
        <v>33</v>
      </c>
      <c r="E438" t="s">
        <v>27</v>
      </c>
      <c r="F438" t="s">
        <v>15</v>
      </c>
      <c r="G438" t="s">
        <v>28</v>
      </c>
      <c r="H438" t="s">
        <v>277</v>
      </c>
      <c r="I438" t="s">
        <v>25</v>
      </c>
    </row>
    <row r="439" spans="1:9" x14ac:dyDescent="0.2">
      <c r="A439" t="s">
        <v>501</v>
      </c>
      <c r="B439">
        <v>-292.22442147927683</v>
      </c>
      <c r="C439" t="s">
        <v>1</v>
      </c>
      <c r="D439" t="s">
        <v>33</v>
      </c>
      <c r="E439" t="s">
        <v>27</v>
      </c>
      <c r="F439" t="s">
        <v>15</v>
      </c>
      <c r="G439" t="s">
        <v>28</v>
      </c>
      <c r="H439" t="s">
        <v>502</v>
      </c>
      <c r="I439" t="s">
        <v>25</v>
      </c>
    </row>
    <row r="440" spans="1:9" x14ac:dyDescent="0.2">
      <c r="A440" t="s">
        <v>348</v>
      </c>
      <c r="B440">
        <v>1</v>
      </c>
      <c r="C440" t="s">
        <v>1</v>
      </c>
      <c r="D440" t="s">
        <v>26</v>
      </c>
      <c r="E440" t="s">
        <v>10</v>
      </c>
      <c r="F440" t="s">
        <v>15</v>
      </c>
      <c r="G440" t="s">
        <v>24</v>
      </c>
      <c r="H440" t="s">
        <v>71</v>
      </c>
      <c r="I440" t="s">
        <v>25</v>
      </c>
    </row>
    <row r="442" spans="1:9" ht="16" x14ac:dyDescent="0.2">
      <c r="A442" s="1" t="s">
        <v>4</v>
      </c>
      <c r="B442" s="1" t="s">
        <v>292</v>
      </c>
    </row>
    <row r="443" spans="1:9" x14ac:dyDescent="0.2">
      <c r="A443" t="s">
        <v>5</v>
      </c>
      <c r="B443" t="s">
        <v>26</v>
      </c>
    </row>
    <row r="444" spans="1:9" x14ac:dyDescent="0.2">
      <c r="A444" t="s">
        <v>6</v>
      </c>
      <c r="B444">
        <v>1</v>
      </c>
    </row>
    <row r="445" spans="1:9" x14ac:dyDescent="0.2">
      <c r="A445" t="s">
        <v>7</v>
      </c>
      <c r="B445" t="s">
        <v>73</v>
      </c>
    </row>
    <row r="446" spans="1:9" x14ac:dyDescent="0.2">
      <c r="A446" t="s">
        <v>8</v>
      </c>
      <c r="B446" t="s">
        <v>9</v>
      </c>
    </row>
    <row r="447" spans="1:9" x14ac:dyDescent="0.2">
      <c r="A447" t="s">
        <v>10</v>
      </c>
      <c r="B447" t="s">
        <v>10</v>
      </c>
    </row>
    <row r="448" spans="1:9" x14ac:dyDescent="0.2">
      <c r="A448" t="s">
        <v>11</v>
      </c>
      <c r="B448" t="s">
        <v>12</v>
      </c>
    </row>
    <row r="449" spans="1:9" x14ac:dyDescent="0.2">
      <c r="A449" t="s">
        <v>13</v>
      </c>
      <c r="B449" t="s">
        <v>291</v>
      </c>
    </row>
    <row r="450" spans="1:9" x14ac:dyDescent="0.2">
      <c r="A450" t="s">
        <v>14</v>
      </c>
      <c r="B450" t="s">
        <v>271</v>
      </c>
    </row>
    <row r="451" spans="1:9" x14ac:dyDescent="0.2">
      <c r="A451" t="s">
        <v>16</v>
      </c>
      <c r="B451" t="s">
        <v>15</v>
      </c>
    </row>
    <row r="452" spans="1:9" x14ac:dyDescent="0.2">
      <c r="A452" t="s">
        <v>17</v>
      </c>
      <c r="B452" t="s">
        <v>72</v>
      </c>
    </row>
    <row r="453" spans="1:9" ht="16" x14ac:dyDescent="0.2">
      <c r="A453" s="1" t="s">
        <v>18</v>
      </c>
    </row>
    <row r="454" spans="1:9" x14ac:dyDescent="0.2">
      <c r="A454" t="s">
        <v>19</v>
      </c>
      <c r="B454" t="s">
        <v>20</v>
      </c>
      <c r="C454" t="s">
        <v>21</v>
      </c>
      <c r="D454" t="s">
        <v>5</v>
      </c>
      <c r="E454" t="s">
        <v>10</v>
      </c>
      <c r="F454" t="s">
        <v>22</v>
      </c>
      <c r="G454" t="s">
        <v>8</v>
      </c>
      <c r="H454" t="s">
        <v>7</v>
      </c>
      <c r="I454" t="s">
        <v>23</v>
      </c>
    </row>
    <row r="455" spans="1:9" x14ac:dyDescent="0.2">
      <c r="A455" t="s">
        <v>61</v>
      </c>
      <c r="B455">
        <v>165.10869565217391</v>
      </c>
      <c r="C455" t="s">
        <v>1</v>
      </c>
      <c r="D455" t="s">
        <v>33</v>
      </c>
      <c r="E455" t="s">
        <v>27</v>
      </c>
      <c r="F455" t="s">
        <v>15</v>
      </c>
      <c r="G455" t="s">
        <v>28</v>
      </c>
      <c r="H455" t="s">
        <v>61</v>
      </c>
      <c r="I455" t="s">
        <v>62</v>
      </c>
    </row>
    <row r="456" spans="1:9" x14ac:dyDescent="0.2">
      <c r="A456" t="s">
        <v>272</v>
      </c>
      <c r="B456">
        <v>1550</v>
      </c>
      <c r="C456" t="s">
        <v>1</v>
      </c>
      <c r="D456" t="s">
        <v>33</v>
      </c>
      <c r="E456" t="s">
        <v>27</v>
      </c>
      <c r="F456" t="s">
        <v>15</v>
      </c>
      <c r="G456" t="s">
        <v>28</v>
      </c>
      <c r="H456" t="s">
        <v>273</v>
      </c>
      <c r="I456" t="s">
        <v>62</v>
      </c>
    </row>
    <row r="457" spans="1:9" x14ac:dyDescent="0.2">
      <c r="A457" t="s">
        <v>274</v>
      </c>
      <c r="B457">
        <v>288.92597487265601</v>
      </c>
      <c r="C457" t="s">
        <v>1</v>
      </c>
      <c r="D457" t="s">
        <v>33</v>
      </c>
      <c r="E457" t="s">
        <v>27</v>
      </c>
      <c r="F457" t="s">
        <v>15</v>
      </c>
      <c r="G457" t="s">
        <v>28</v>
      </c>
      <c r="H457" t="s">
        <v>500</v>
      </c>
      <c r="I457" t="s">
        <v>275</v>
      </c>
    </row>
    <row r="458" spans="1:9" x14ac:dyDescent="0.2">
      <c r="A458" t="s">
        <v>60</v>
      </c>
      <c r="B458">
        <v>48.583333333333329</v>
      </c>
      <c r="C458" t="s">
        <v>1</v>
      </c>
      <c r="D458" t="s">
        <v>26</v>
      </c>
      <c r="E458" t="s">
        <v>27</v>
      </c>
      <c r="F458" t="s">
        <v>15</v>
      </c>
      <c r="G458" t="s">
        <v>28</v>
      </c>
      <c r="H458" t="s">
        <v>54</v>
      </c>
      <c r="I458" t="s">
        <v>34</v>
      </c>
    </row>
    <row r="459" spans="1:9" x14ac:dyDescent="0.2">
      <c r="A459" t="s">
        <v>276</v>
      </c>
      <c r="B459">
        <v>-1433.474637681159</v>
      </c>
      <c r="C459" t="s">
        <v>1</v>
      </c>
      <c r="D459" t="s">
        <v>33</v>
      </c>
      <c r="E459" t="s">
        <v>27</v>
      </c>
      <c r="F459" t="s">
        <v>15</v>
      </c>
      <c r="G459" t="s">
        <v>28</v>
      </c>
      <c r="H459" t="s">
        <v>277</v>
      </c>
      <c r="I459" t="s">
        <v>25</v>
      </c>
    </row>
    <row r="460" spans="1:9" x14ac:dyDescent="0.2">
      <c r="A460" t="s">
        <v>501</v>
      </c>
      <c r="B460">
        <v>-288.92597487265601</v>
      </c>
      <c r="C460" t="s">
        <v>1</v>
      </c>
      <c r="D460" t="s">
        <v>33</v>
      </c>
      <c r="E460" t="s">
        <v>27</v>
      </c>
      <c r="F460" t="s">
        <v>15</v>
      </c>
      <c r="G460" t="s">
        <v>28</v>
      </c>
      <c r="H460" t="s">
        <v>502</v>
      </c>
      <c r="I460" t="s">
        <v>25</v>
      </c>
    </row>
    <row r="461" spans="1:9" x14ac:dyDescent="0.2">
      <c r="A461" t="s">
        <v>292</v>
      </c>
      <c r="B461">
        <v>1</v>
      </c>
      <c r="C461" t="s">
        <v>1</v>
      </c>
      <c r="D461" t="s">
        <v>26</v>
      </c>
      <c r="E461" t="s">
        <v>10</v>
      </c>
      <c r="F461" t="s">
        <v>15</v>
      </c>
      <c r="G461" t="s">
        <v>24</v>
      </c>
      <c r="H461" t="s">
        <v>73</v>
      </c>
      <c r="I461" t="s">
        <v>25</v>
      </c>
    </row>
    <row r="464" spans="1:9" ht="16" x14ac:dyDescent="0.2">
      <c r="A464" s="1" t="s">
        <v>4</v>
      </c>
      <c r="B464" s="1" t="s">
        <v>453</v>
      </c>
    </row>
    <row r="465" spans="1:9" x14ac:dyDescent="0.2">
      <c r="A465" t="s">
        <v>5</v>
      </c>
      <c r="B465" t="s">
        <v>26</v>
      </c>
    </row>
    <row r="466" spans="1:9" x14ac:dyDescent="0.2">
      <c r="A466" t="s">
        <v>6</v>
      </c>
      <c r="B466">
        <v>1</v>
      </c>
    </row>
    <row r="467" spans="1:9" x14ac:dyDescent="0.2">
      <c r="A467" t="s">
        <v>7</v>
      </c>
      <c r="B467" t="s">
        <v>65</v>
      </c>
    </row>
    <row r="468" spans="1:9" x14ac:dyDescent="0.2">
      <c r="A468" t="s">
        <v>8</v>
      </c>
      <c r="B468" t="s">
        <v>9</v>
      </c>
    </row>
    <row r="469" spans="1:9" x14ac:dyDescent="0.2">
      <c r="A469" t="s">
        <v>10</v>
      </c>
      <c r="B469" t="s">
        <v>10</v>
      </c>
    </row>
    <row r="470" spans="1:9" x14ac:dyDescent="0.2">
      <c r="A470" t="s">
        <v>11</v>
      </c>
      <c r="B470" t="s">
        <v>12</v>
      </c>
    </row>
    <row r="471" spans="1:9" x14ac:dyDescent="0.2">
      <c r="A471" t="s">
        <v>13</v>
      </c>
      <c r="B471" t="s">
        <v>291</v>
      </c>
    </row>
    <row r="472" spans="1:9" x14ac:dyDescent="0.2">
      <c r="A472" t="s">
        <v>14</v>
      </c>
      <c r="B472" t="s">
        <v>271</v>
      </c>
    </row>
    <row r="473" spans="1:9" x14ac:dyDescent="0.2">
      <c r="A473" t="s">
        <v>16</v>
      </c>
      <c r="B473" t="s">
        <v>15</v>
      </c>
    </row>
    <row r="474" spans="1:9" x14ac:dyDescent="0.2">
      <c r="A474" t="s">
        <v>17</v>
      </c>
      <c r="B474" t="s">
        <v>74</v>
      </c>
    </row>
    <row r="475" spans="1:9" ht="16" x14ac:dyDescent="0.2">
      <c r="A475" s="1" t="s">
        <v>18</v>
      </c>
    </row>
    <row r="476" spans="1:9" x14ac:dyDescent="0.2">
      <c r="A476" t="s">
        <v>19</v>
      </c>
      <c r="B476" t="s">
        <v>20</v>
      </c>
      <c r="C476" t="s">
        <v>21</v>
      </c>
      <c r="D476" t="s">
        <v>5</v>
      </c>
      <c r="E476" t="s">
        <v>10</v>
      </c>
      <c r="F476" t="s">
        <v>22</v>
      </c>
      <c r="G476" t="s">
        <v>8</v>
      </c>
      <c r="H476" t="s">
        <v>7</v>
      </c>
      <c r="I476" t="s">
        <v>23</v>
      </c>
    </row>
    <row r="477" spans="1:9" x14ac:dyDescent="0.2">
      <c r="A477" t="s">
        <v>61</v>
      </c>
      <c r="B477">
        <v>155</v>
      </c>
      <c r="C477" t="s">
        <v>1</v>
      </c>
      <c r="D477" t="s">
        <v>33</v>
      </c>
      <c r="E477" t="s">
        <v>27</v>
      </c>
      <c r="F477" t="s">
        <v>15</v>
      </c>
      <c r="G477" t="s">
        <v>28</v>
      </c>
      <c r="H477" t="s">
        <v>61</v>
      </c>
      <c r="I477" t="s">
        <v>62</v>
      </c>
    </row>
    <row r="478" spans="1:9" x14ac:dyDescent="0.2">
      <c r="A478" t="s">
        <v>272</v>
      </c>
      <c r="B478">
        <v>1550</v>
      </c>
      <c r="C478" t="s">
        <v>1</v>
      </c>
      <c r="D478" t="s">
        <v>33</v>
      </c>
      <c r="E478" t="s">
        <v>27</v>
      </c>
      <c r="F478" t="s">
        <v>15</v>
      </c>
      <c r="G478" t="s">
        <v>28</v>
      </c>
      <c r="H478" t="s">
        <v>273</v>
      </c>
      <c r="I478" t="s">
        <v>62</v>
      </c>
    </row>
    <row r="479" spans="1:9" x14ac:dyDescent="0.2">
      <c r="A479" t="s">
        <v>274</v>
      </c>
      <c r="B479">
        <v>322.56751601680691</v>
      </c>
      <c r="C479" t="s">
        <v>1</v>
      </c>
      <c r="D479" t="s">
        <v>33</v>
      </c>
      <c r="E479" t="s">
        <v>27</v>
      </c>
      <c r="F479" t="s">
        <v>15</v>
      </c>
      <c r="G479" t="s">
        <v>28</v>
      </c>
      <c r="H479" t="s">
        <v>500</v>
      </c>
      <c r="I479" t="s">
        <v>275</v>
      </c>
    </row>
    <row r="480" spans="1:9" x14ac:dyDescent="0.2">
      <c r="A480" t="s">
        <v>60</v>
      </c>
      <c r="B480">
        <v>57.066666666666663</v>
      </c>
      <c r="C480" t="s">
        <v>1</v>
      </c>
      <c r="D480" t="s">
        <v>26</v>
      </c>
      <c r="E480" t="s">
        <v>27</v>
      </c>
      <c r="F480" t="s">
        <v>15</v>
      </c>
      <c r="G480" t="s">
        <v>28</v>
      </c>
      <c r="H480" t="s">
        <v>54</v>
      </c>
      <c r="I480" t="s">
        <v>34</v>
      </c>
    </row>
    <row r="481" spans="1:9" x14ac:dyDescent="0.2">
      <c r="A481" t="s">
        <v>276</v>
      </c>
      <c r="B481">
        <v>-1452.0666666666671</v>
      </c>
      <c r="C481" t="s">
        <v>1</v>
      </c>
      <c r="D481" t="s">
        <v>33</v>
      </c>
      <c r="E481" t="s">
        <v>27</v>
      </c>
      <c r="F481" t="s">
        <v>15</v>
      </c>
      <c r="G481" t="s">
        <v>28</v>
      </c>
      <c r="H481" t="s">
        <v>277</v>
      </c>
      <c r="I481" t="s">
        <v>25</v>
      </c>
    </row>
    <row r="482" spans="1:9" x14ac:dyDescent="0.2">
      <c r="A482" t="s">
        <v>501</v>
      </c>
      <c r="B482">
        <v>-322.56751601680691</v>
      </c>
      <c r="C482" t="s">
        <v>1</v>
      </c>
      <c r="D482" t="s">
        <v>33</v>
      </c>
      <c r="E482" t="s">
        <v>27</v>
      </c>
      <c r="F482" t="s">
        <v>15</v>
      </c>
      <c r="G482" t="s">
        <v>28</v>
      </c>
      <c r="H482" t="s">
        <v>502</v>
      </c>
      <c r="I482" t="s">
        <v>25</v>
      </c>
    </row>
    <row r="483" spans="1:9" x14ac:dyDescent="0.2">
      <c r="A483" t="s">
        <v>453</v>
      </c>
      <c r="B483">
        <v>1</v>
      </c>
      <c r="C483" t="s">
        <v>1</v>
      </c>
      <c r="D483" t="s">
        <v>26</v>
      </c>
      <c r="E483" t="s">
        <v>10</v>
      </c>
      <c r="F483" t="s">
        <v>15</v>
      </c>
      <c r="G483" t="s">
        <v>24</v>
      </c>
      <c r="H483" t="s">
        <v>65</v>
      </c>
      <c r="I483" t="s">
        <v>25</v>
      </c>
    </row>
    <row r="485" spans="1:9" ht="16" x14ac:dyDescent="0.2">
      <c r="A485" s="1" t="s">
        <v>4</v>
      </c>
      <c r="B485" s="1" t="s">
        <v>429</v>
      </c>
    </row>
    <row r="486" spans="1:9" x14ac:dyDescent="0.2">
      <c r="A486" t="s">
        <v>5</v>
      </c>
      <c r="B486" t="s">
        <v>26</v>
      </c>
    </row>
    <row r="487" spans="1:9" x14ac:dyDescent="0.2">
      <c r="A487" t="s">
        <v>6</v>
      </c>
      <c r="B487">
        <v>1</v>
      </c>
    </row>
    <row r="488" spans="1:9" x14ac:dyDescent="0.2">
      <c r="A488" t="s">
        <v>7</v>
      </c>
      <c r="B488" t="s">
        <v>67</v>
      </c>
    </row>
    <row r="489" spans="1:9" x14ac:dyDescent="0.2">
      <c r="A489" t="s">
        <v>8</v>
      </c>
      <c r="B489" t="s">
        <v>9</v>
      </c>
    </row>
    <row r="490" spans="1:9" x14ac:dyDescent="0.2">
      <c r="A490" t="s">
        <v>10</v>
      </c>
      <c r="B490" t="s">
        <v>10</v>
      </c>
    </row>
    <row r="491" spans="1:9" x14ac:dyDescent="0.2">
      <c r="A491" t="s">
        <v>11</v>
      </c>
      <c r="B491" t="s">
        <v>12</v>
      </c>
    </row>
    <row r="492" spans="1:9" x14ac:dyDescent="0.2">
      <c r="A492" t="s">
        <v>13</v>
      </c>
      <c r="B492" t="s">
        <v>291</v>
      </c>
    </row>
    <row r="493" spans="1:9" x14ac:dyDescent="0.2">
      <c r="A493" t="s">
        <v>14</v>
      </c>
      <c r="B493" t="s">
        <v>271</v>
      </c>
    </row>
    <row r="494" spans="1:9" x14ac:dyDescent="0.2">
      <c r="A494" t="s">
        <v>16</v>
      </c>
      <c r="B494" t="s">
        <v>15</v>
      </c>
    </row>
    <row r="495" spans="1:9" x14ac:dyDescent="0.2">
      <c r="A495" t="s">
        <v>17</v>
      </c>
      <c r="B495" t="s">
        <v>75</v>
      </c>
    </row>
    <row r="496" spans="1:9" ht="16" x14ac:dyDescent="0.2">
      <c r="A496" s="1" t="s">
        <v>18</v>
      </c>
    </row>
    <row r="497" spans="1:9" x14ac:dyDescent="0.2">
      <c r="A497" t="s">
        <v>19</v>
      </c>
      <c r="B497" t="s">
        <v>20</v>
      </c>
      <c r="C497" t="s">
        <v>21</v>
      </c>
      <c r="D497" t="s">
        <v>5</v>
      </c>
      <c r="E497" t="s">
        <v>10</v>
      </c>
      <c r="F497" t="s">
        <v>22</v>
      </c>
      <c r="G497" t="s">
        <v>8</v>
      </c>
      <c r="H497" t="s">
        <v>7</v>
      </c>
      <c r="I497" t="s">
        <v>23</v>
      </c>
    </row>
    <row r="498" spans="1:9" x14ac:dyDescent="0.2">
      <c r="A498" t="s">
        <v>61</v>
      </c>
      <c r="B498">
        <v>155</v>
      </c>
      <c r="C498" t="s">
        <v>1</v>
      </c>
      <c r="D498" t="s">
        <v>33</v>
      </c>
      <c r="E498" t="s">
        <v>27</v>
      </c>
      <c r="F498" t="s">
        <v>15</v>
      </c>
      <c r="G498" t="s">
        <v>28</v>
      </c>
      <c r="H498" t="s">
        <v>61</v>
      </c>
      <c r="I498" t="s">
        <v>62</v>
      </c>
    </row>
    <row r="499" spans="1:9" x14ac:dyDescent="0.2">
      <c r="A499" t="s">
        <v>272</v>
      </c>
      <c r="B499">
        <v>1550</v>
      </c>
      <c r="C499" t="s">
        <v>1</v>
      </c>
      <c r="D499" t="s">
        <v>33</v>
      </c>
      <c r="E499" t="s">
        <v>27</v>
      </c>
      <c r="F499" t="s">
        <v>15</v>
      </c>
      <c r="G499" t="s">
        <v>28</v>
      </c>
      <c r="H499" t="s">
        <v>273</v>
      </c>
      <c r="I499" t="s">
        <v>62</v>
      </c>
    </row>
    <row r="500" spans="1:9" x14ac:dyDescent="0.2">
      <c r="A500" t="s">
        <v>274</v>
      </c>
      <c r="B500">
        <v>321.53692868241632</v>
      </c>
      <c r="C500" t="s">
        <v>1</v>
      </c>
      <c r="D500" t="s">
        <v>33</v>
      </c>
      <c r="E500" t="s">
        <v>27</v>
      </c>
      <c r="F500" t="s">
        <v>15</v>
      </c>
      <c r="G500" t="s">
        <v>28</v>
      </c>
      <c r="H500" t="s">
        <v>500</v>
      </c>
      <c r="I500" t="s">
        <v>275</v>
      </c>
    </row>
    <row r="501" spans="1:9" x14ac:dyDescent="0.2">
      <c r="A501" t="s">
        <v>60</v>
      </c>
      <c r="B501">
        <v>53.05416666666666</v>
      </c>
      <c r="C501" t="s">
        <v>1</v>
      </c>
      <c r="D501" t="s">
        <v>26</v>
      </c>
      <c r="E501" t="s">
        <v>27</v>
      </c>
      <c r="F501" t="s">
        <v>15</v>
      </c>
      <c r="G501" t="s">
        <v>28</v>
      </c>
      <c r="H501" t="s">
        <v>54</v>
      </c>
      <c r="I501" t="s">
        <v>34</v>
      </c>
    </row>
    <row r="502" spans="1:9" x14ac:dyDescent="0.2">
      <c r="A502" t="s">
        <v>276</v>
      </c>
      <c r="B502">
        <v>-1448.054166666667</v>
      </c>
      <c r="C502" t="s">
        <v>1</v>
      </c>
      <c r="D502" t="s">
        <v>33</v>
      </c>
      <c r="E502" t="s">
        <v>27</v>
      </c>
      <c r="F502" t="s">
        <v>15</v>
      </c>
      <c r="G502" t="s">
        <v>28</v>
      </c>
      <c r="H502" t="s">
        <v>277</v>
      </c>
      <c r="I502" t="s">
        <v>25</v>
      </c>
    </row>
    <row r="503" spans="1:9" x14ac:dyDescent="0.2">
      <c r="A503" t="s">
        <v>501</v>
      </c>
      <c r="B503">
        <v>-321.53692868241632</v>
      </c>
      <c r="C503" t="s">
        <v>1</v>
      </c>
      <c r="D503" t="s">
        <v>33</v>
      </c>
      <c r="E503" t="s">
        <v>27</v>
      </c>
      <c r="F503" t="s">
        <v>15</v>
      </c>
      <c r="G503" t="s">
        <v>28</v>
      </c>
      <c r="H503" t="s">
        <v>502</v>
      </c>
      <c r="I503" t="s">
        <v>25</v>
      </c>
    </row>
    <row r="504" spans="1:9" x14ac:dyDescent="0.2">
      <c r="A504" t="s">
        <v>429</v>
      </c>
      <c r="B504">
        <v>1</v>
      </c>
      <c r="C504" t="s">
        <v>1</v>
      </c>
      <c r="D504" t="s">
        <v>26</v>
      </c>
      <c r="E504" t="s">
        <v>10</v>
      </c>
      <c r="F504" t="s">
        <v>15</v>
      </c>
      <c r="G504" t="s">
        <v>24</v>
      </c>
      <c r="H504" t="s">
        <v>67</v>
      </c>
      <c r="I504" t="s">
        <v>25</v>
      </c>
    </row>
    <row r="506" spans="1:9" ht="16" x14ac:dyDescent="0.2">
      <c r="A506" s="1" t="s">
        <v>4</v>
      </c>
      <c r="B506" s="1" t="s">
        <v>405</v>
      </c>
    </row>
    <row r="507" spans="1:9" x14ac:dyDescent="0.2">
      <c r="A507" t="s">
        <v>5</v>
      </c>
      <c r="B507" t="s">
        <v>26</v>
      </c>
    </row>
    <row r="508" spans="1:9" x14ac:dyDescent="0.2">
      <c r="A508" t="s">
        <v>6</v>
      </c>
      <c r="B508">
        <v>1</v>
      </c>
    </row>
    <row r="509" spans="1:9" x14ac:dyDescent="0.2">
      <c r="A509" t="s">
        <v>7</v>
      </c>
      <c r="B509" t="s">
        <v>69</v>
      </c>
    </row>
    <row r="510" spans="1:9" x14ac:dyDescent="0.2">
      <c r="A510" t="s">
        <v>8</v>
      </c>
      <c r="B510" t="s">
        <v>9</v>
      </c>
    </row>
    <row r="511" spans="1:9" x14ac:dyDescent="0.2">
      <c r="A511" t="s">
        <v>10</v>
      </c>
      <c r="B511" t="s">
        <v>10</v>
      </c>
    </row>
    <row r="512" spans="1:9" x14ac:dyDescent="0.2">
      <c r="A512" t="s">
        <v>11</v>
      </c>
      <c r="B512" t="s">
        <v>12</v>
      </c>
    </row>
    <row r="513" spans="1:9" x14ac:dyDescent="0.2">
      <c r="A513" t="s">
        <v>13</v>
      </c>
      <c r="B513" t="s">
        <v>291</v>
      </c>
    </row>
    <row r="514" spans="1:9" x14ac:dyDescent="0.2">
      <c r="A514" t="s">
        <v>14</v>
      </c>
      <c r="B514" t="s">
        <v>271</v>
      </c>
    </row>
    <row r="515" spans="1:9" x14ac:dyDescent="0.2">
      <c r="A515" t="s">
        <v>16</v>
      </c>
      <c r="B515" t="s">
        <v>15</v>
      </c>
    </row>
    <row r="516" spans="1:9" x14ac:dyDescent="0.2">
      <c r="A516" t="s">
        <v>17</v>
      </c>
      <c r="B516" t="s">
        <v>76</v>
      </c>
    </row>
    <row r="517" spans="1:9" ht="16" x14ac:dyDescent="0.2">
      <c r="A517" s="1" t="s">
        <v>18</v>
      </c>
    </row>
    <row r="518" spans="1:9" x14ac:dyDescent="0.2">
      <c r="A518" t="s">
        <v>19</v>
      </c>
      <c r="B518" t="s">
        <v>20</v>
      </c>
      <c r="C518" t="s">
        <v>21</v>
      </c>
      <c r="D518" t="s">
        <v>5</v>
      </c>
      <c r="E518" t="s">
        <v>10</v>
      </c>
      <c r="F518" t="s">
        <v>22</v>
      </c>
      <c r="G518" t="s">
        <v>8</v>
      </c>
      <c r="H518" t="s">
        <v>7</v>
      </c>
      <c r="I518" t="s">
        <v>23</v>
      </c>
    </row>
    <row r="519" spans="1:9" x14ac:dyDescent="0.2">
      <c r="A519" t="s">
        <v>61</v>
      </c>
      <c r="B519">
        <v>155</v>
      </c>
      <c r="C519" t="s">
        <v>1</v>
      </c>
      <c r="D519" t="s">
        <v>33</v>
      </c>
      <c r="E519" t="s">
        <v>27</v>
      </c>
      <c r="F519" t="s">
        <v>15</v>
      </c>
      <c r="G519" t="s">
        <v>28</v>
      </c>
      <c r="H519" t="s">
        <v>61</v>
      </c>
      <c r="I519" t="s">
        <v>62</v>
      </c>
    </row>
    <row r="520" spans="1:9" x14ac:dyDescent="0.2">
      <c r="A520" t="s">
        <v>272</v>
      </c>
      <c r="B520">
        <v>1550</v>
      </c>
      <c r="C520" t="s">
        <v>1</v>
      </c>
      <c r="D520" t="s">
        <v>33</v>
      </c>
      <c r="E520" t="s">
        <v>27</v>
      </c>
      <c r="F520" t="s">
        <v>15</v>
      </c>
      <c r="G520" t="s">
        <v>28</v>
      </c>
      <c r="H520" t="s">
        <v>273</v>
      </c>
      <c r="I520" t="s">
        <v>62</v>
      </c>
    </row>
    <row r="521" spans="1:9" x14ac:dyDescent="0.2">
      <c r="A521" t="s">
        <v>274</v>
      </c>
      <c r="B521">
        <v>320.50634134802561</v>
      </c>
      <c r="C521" t="s">
        <v>1</v>
      </c>
      <c r="D521" t="s">
        <v>33</v>
      </c>
      <c r="E521" t="s">
        <v>27</v>
      </c>
      <c r="F521" t="s">
        <v>15</v>
      </c>
      <c r="G521" t="s">
        <v>28</v>
      </c>
      <c r="H521" t="s">
        <v>500</v>
      </c>
      <c r="I521" t="s">
        <v>275</v>
      </c>
    </row>
    <row r="522" spans="1:9" x14ac:dyDescent="0.2">
      <c r="A522" t="s">
        <v>60</v>
      </c>
      <c r="B522">
        <v>49.041666666666657</v>
      </c>
      <c r="C522" t="s">
        <v>1</v>
      </c>
      <c r="D522" t="s">
        <v>26</v>
      </c>
      <c r="E522" t="s">
        <v>27</v>
      </c>
      <c r="F522" t="s">
        <v>15</v>
      </c>
      <c r="G522" t="s">
        <v>28</v>
      </c>
      <c r="H522" t="s">
        <v>54</v>
      </c>
      <c r="I522" t="s">
        <v>34</v>
      </c>
    </row>
    <row r="523" spans="1:9" x14ac:dyDescent="0.2">
      <c r="A523" t="s">
        <v>276</v>
      </c>
      <c r="B523">
        <v>-1444.041666666667</v>
      </c>
      <c r="C523" t="s">
        <v>1</v>
      </c>
      <c r="D523" t="s">
        <v>33</v>
      </c>
      <c r="E523" t="s">
        <v>27</v>
      </c>
      <c r="F523" t="s">
        <v>15</v>
      </c>
      <c r="G523" t="s">
        <v>28</v>
      </c>
      <c r="H523" t="s">
        <v>277</v>
      </c>
      <c r="I523" t="s">
        <v>25</v>
      </c>
    </row>
    <row r="524" spans="1:9" x14ac:dyDescent="0.2">
      <c r="A524" t="s">
        <v>501</v>
      </c>
      <c r="B524">
        <v>-320.50634134802561</v>
      </c>
      <c r="C524" t="s">
        <v>1</v>
      </c>
      <c r="D524" t="s">
        <v>33</v>
      </c>
      <c r="E524" t="s">
        <v>27</v>
      </c>
      <c r="F524" t="s">
        <v>15</v>
      </c>
      <c r="G524" t="s">
        <v>28</v>
      </c>
      <c r="H524" t="s">
        <v>502</v>
      </c>
      <c r="I524" t="s">
        <v>25</v>
      </c>
    </row>
    <row r="525" spans="1:9" x14ac:dyDescent="0.2">
      <c r="A525" t="s">
        <v>405</v>
      </c>
      <c r="B525">
        <v>1</v>
      </c>
      <c r="C525" t="s">
        <v>1</v>
      </c>
      <c r="D525" t="s">
        <v>26</v>
      </c>
      <c r="E525" t="s">
        <v>10</v>
      </c>
      <c r="F525" t="s">
        <v>15</v>
      </c>
      <c r="G525" t="s">
        <v>24</v>
      </c>
      <c r="H525" t="s">
        <v>69</v>
      </c>
      <c r="I525" t="s">
        <v>25</v>
      </c>
    </row>
    <row r="527" spans="1:9" ht="16" x14ac:dyDescent="0.2">
      <c r="A527" s="1" t="s">
        <v>4</v>
      </c>
      <c r="B527" s="1" t="s">
        <v>349</v>
      </c>
    </row>
    <row r="528" spans="1:9" x14ac:dyDescent="0.2">
      <c r="A528" t="s">
        <v>5</v>
      </c>
      <c r="B528" t="s">
        <v>26</v>
      </c>
    </row>
    <row r="529" spans="1:9" x14ac:dyDescent="0.2">
      <c r="A529" t="s">
        <v>6</v>
      </c>
      <c r="B529">
        <v>1</v>
      </c>
    </row>
    <row r="530" spans="1:9" x14ac:dyDescent="0.2">
      <c r="A530" t="s">
        <v>7</v>
      </c>
      <c r="B530" t="s">
        <v>71</v>
      </c>
    </row>
    <row r="531" spans="1:9" x14ac:dyDescent="0.2">
      <c r="A531" t="s">
        <v>8</v>
      </c>
      <c r="B531" t="s">
        <v>9</v>
      </c>
    </row>
    <row r="532" spans="1:9" x14ac:dyDescent="0.2">
      <c r="A532" t="s">
        <v>10</v>
      </c>
      <c r="B532" t="s">
        <v>10</v>
      </c>
    </row>
    <row r="533" spans="1:9" x14ac:dyDescent="0.2">
      <c r="A533" t="s">
        <v>11</v>
      </c>
      <c r="B533" t="s">
        <v>12</v>
      </c>
    </row>
    <row r="534" spans="1:9" x14ac:dyDescent="0.2">
      <c r="A534" t="s">
        <v>13</v>
      </c>
      <c r="B534" t="s">
        <v>291</v>
      </c>
    </row>
    <row r="535" spans="1:9" x14ac:dyDescent="0.2">
      <c r="A535" t="s">
        <v>14</v>
      </c>
      <c r="B535" t="s">
        <v>271</v>
      </c>
    </row>
    <row r="536" spans="1:9" x14ac:dyDescent="0.2">
      <c r="A536" t="s">
        <v>16</v>
      </c>
      <c r="B536" t="s">
        <v>15</v>
      </c>
    </row>
    <row r="537" spans="1:9" x14ac:dyDescent="0.2">
      <c r="A537" t="s">
        <v>17</v>
      </c>
      <c r="B537" t="s">
        <v>77</v>
      </c>
    </row>
    <row r="538" spans="1:9" ht="16" x14ac:dyDescent="0.2">
      <c r="A538" s="1" t="s">
        <v>18</v>
      </c>
    </row>
    <row r="539" spans="1:9" x14ac:dyDescent="0.2">
      <c r="A539" t="s">
        <v>19</v>
      </c>
      <c r="B539" t="s">
        <v>20</v>
      </c>
      <c r="C539" t="s">
        <v>21</v>
      </c>
      <c r="D539" t="s">
        <v>5</v>
      </c>
      <c r="E539" t="s">
        <v>10</v>
      </c>
      <c r="F539" t="s">
        <v>22</v>
      </c>
      <c r="G539" t="s">
        <v>8</v>
      </c>
      <c r="H539" t="s">
        <v>7</v>
      </c>
      <c r="I539" t="s">
        <v>23</v>
      </c>
    </row>
    <row r="540" spans="1:9" x14ac:dyDescent="0.2">
      <c r="A540" t="s">
        <v>61</v>
      </c>
      <c r="B540">
        <v>160.054347826087</v>
      </c>
      <c r="C540" t="s">
        <v>1</v>
      </c>
      <c r="D540" t="s">
        <v>33</v>
      </c>
      <c r="E540" t="s">
        <v>27</v>
      </c>
      <c r="F540" t="s">
        <v>15</v>
      </c>
      <c r="G540" t="s">
        <v>28</v>
      </c>
      <c r="H540" t="s">
        <v>61</v>
      </c>
      <c r="I540" t="s">
        <v>62</v>
      </c>
    </row>
    <row r="541" spans="1:9" x14ac:dyDescent="0.2">
      <c r="A541" t="s">
        <v>272</v>
      </c>
      <c r="B541">
        <v>1550</v>
      </c>
      <c r="C541" t="s">
        <v>1</v>
      </c>
      <c r="D541" t="s">
        <v>33</v>
      </c>
      <c r="E541" t="s">
        <v>27</v>
      </c>
      <c r="F541" t="s">
        <v>15</v>
      </c>
      <c r="G541" t="s">
        <v>28</v>
      </c>
      <c r="H541" t="s">
        <v>273</v>
      </c>
      <c r="I541" t="s">
        <v>62</v>
      </c>
    </row>
    <row r="542" spans="1:9" x14ac:dyDescent="0.2">
      <c r="A542" t="s">
        <v>274</v>
      </c>
      <c r="B542">
        <v>317.73814632055149</v>
      </c>
      <c r="C542" t="s">
        <v>1</v>
      </c>
      <c r="D542" t="s">
        <v>33</v>
      </c>
      <c r="E542" t="s">
        <v>27</v>
      </c>
      <c r="F542" t="s">
        <v>15</v>
      </c>
      <c r="G542" t="s">
        <v>28</v>
      </c>
      <c r="H542" t="s">
        <v>500</v>
      </c>
      <c r="I542" t="s">
        <v>275</v>
      </c>
    </row>
    <row r="543" spans="1:9" x14ac:dyDescent="0.2">
      <c r="A543" t="s">
        <v>60</v>
      </c>
      <c r="B543">
        <v>49.041666666666657</v>
      </c>
      <c r="C543" t="s">
        <v>1</v>
      </c>
      <c r="D543" t="s">
        <v>26</v>
      </c>
      <c r="E543" t="s">
        <v>27</v>
      </c>
      <c r="F543" t="s">
        <v>15</v>
      </c>
      <c r="G543" t="s">
        <v>28</v>
      </c>
      <c r="H543" t="s">
        <v>54</v>
      </c>
      <c r="I543" t="s">
        <v>34</v>
      </c>
    </row>
    <row r="544" spans="1:9" x14ac:dyDescent="0.2">
      <c r="A544" t="s">
        <v>276</v>
      </c>
      <c r="B544">
        <v>-1438.98731884058</v>
      </c>
      <c r="C544" t="s">
        <v>1</v>
      </c>
      <c r="D544" t="s">
        <v>33</v>
      </c>
      <c r="E544" t="s">
        <v>27</v>
      </c>
      <c r="F544" t="s">
        <v>15</v>
      </c>
      <c r="G544" t="s">
        <v>28</v>
      </c>
      <c r="H544" t="s">
        <v>277</v>
      </c>
      <c r="I544" t="s">
        <v>25</v>
      </c>
    </row>
    <row r="545" spans="1:9" x14ac:dyDescent="0.2">
      <c r="A545" t="s">
        <v>501</v>
      </c>
      <c r="B545">
        <v>-317.73814632055149</v>
      </c>
      <c r="C545" t="s">
        <v>1</v>
      </c>
      <c r="D545" t="s">
        <v>33</v>
      </c>
      <c r="E545" t="s">
        <v>27</v>
      </c>
      <c r="F545" t="s">
        <v>15</v>
      </c>
      <c r="G545" t="s">
        <v>28</v>
      </c>
      <c r="H545" t="s">
        <v>502</v>
      </c>
      <c r="I545" t="s">
        <v>25</v>
      </c>
    </row>
    <row r="546" spans="1:9" x14ac:dyDescent="0.2">
      <c r="A546" t="s">
        <v>349</v>
      </c>
      <c r="B546">
        <v>1</v>
      </c>
      <c r="C546" t="s">
        <v>1</v>
      </c>
      <c r="D546" t="s">
        <v>26</v>
      </c>
      <c r="E546" t="s">
        <v>10</v>
      </c>
      <c r="F546" t="s">
        <v>15</v>
      </c>
      <c r="G546" t="s">
        <v>24</v>
      </c>
      <c r="H546" t="s">
        <v>71</v>
      </c>
      <c r="I546" t="s">
        <v>25</v>
      </c>
    </row>
    <row r="548" spans="1:9" ht="16" x14ac:dyDescent="0.2">
      <c r="A548" s="1" t="s">
        <v>4</v>
      </c>
      <c r="B548" s="1" t="s">
        <v>293</v>
      </c>
    </row>
    <row r="549" spans="1:9" x14ac:dyDescent="0.2">
      <c r="A549" t="s">
        <v>5</v>
      </c>
      <c r="B549" t="s">
        <v>26</v>
      </c>
    </row>
    <row r="550" spans="1:9" x14ac:dyDescent="0.2">
      <c r="A550" t="s">
        <v>6</v>
      </c>
      <c r="B550">
        <v>1</v>
      </c>
    </row>
    <row r="551" spans="1:9" x14ac:dyDescent="0.2">
      <c r="A551" t="s">
        <v>7</v>
      </c>
      <c r="B551" t="s">
        <v>73</v>
      </c>
    </row>
    <row r="552" spans="1:9" x14ac:dyDescent="0.2">
      <c r="A552" t="s">
        <v>8</v>
      </c>
      <c r="B552" t="s">
        <v>9</v>
      </c>
    </row>
    <row r="553" spans="1:9" x14ac:dyDescent="0.2">
      <c r="A553" t="s">
        <v>10</v>
      </c>
      <c r="B553" t="s">
        <v>10</v>
      </c>
    </row>
    <row r="554" spans="1:9" x14ac:dyDescent="0.2">
      <c r="A554" t="s">
        <v>11</v>
      </c>
      <c r="B554" t="s">
        <v>12</v>
      </c>
    </row>
    <row r="555" spans="1:9" x14ac:dyDescent="0.2">
      <c r="A555" t="s">
        <v>13</v>
      </c>
      <c r="B555" t="s">
        <v>291</v>
      </c>
    </row>
    <row r="556" spans="1:9" x14ac:dyDescent="0.2">
      <c r="A556" t="s">
        <v>14</v>
      </c>
      <c r="B556" t="s">
        <v>271</v>
      </c>
    </row>
    <row r="557" spans="1:9" x14ac:dyDescent="0.2">
      <c r="A557" t="s">
        <v>16</v>
      </c>
      <c r="B557" t="s">
        <v>15</v>
      </c>
    </row>
    <row r="558" spans="1:9" x14ac:dyDescent="0.2">
      <c r="A558" t="s">
        <v>17</v>
      </c>
      <c r="B558" t="s">
        <v>78</v>
      </c>
    </row>
    <row r="559" spans="1:9" ht="16" x14ac:dyDescent="0.2">
      <c r="A559" s="1" t="s">
        <v>18</v>
      </c>
    </row>
    <row r="560" spans="1:9" x14ac:dyDescent="0.2">
      <c r="A560" t="s">
        <v>19</v>
      </c>
      <c r="B560" t="s">
        <v>20</v>
      </c>
      <c r="C560" t="s">
        <v>21</v>
      </c>
      <c r="D560" t="s">
        <v>5</v>
      </c>
      <c r="E560" t="s">
        <v>10</v>
      </c>
      <c r="F560" t="s">
        <v>22</v>
      </c>
      <c r="G560" t="s">
        <v>8</v>
      </c>
      <c r="H560" t="s">
        <v>7</v>
      </c>
      <c r="I560" t="s">
        <v>23</v>
      </c>
    </row>
    <row r="561" spans="1:9" x14ac:dyDescent="0.2">
      <c r="A561" t="s">
        <v>61</v>
      </c>
      <c r="B561">
        <v>165.10869565217391</v>
      </c>
      <c r="C561" t="s">
        <v>1</v>
      </c>
      <c r="D561" t="s">
        <v>33</v>
      </c>
      <c r="E561" t="s">
        <v>27</v>
      </c>
      <c r="F561" t="s">
        <v>15</v>
      </c>
      <c r="G561" t="s">
        <v>28</v>
      </c>
      <c r="H561" t="s">
        <v>61</v>
      </c>
      <c r="I561" t="s">
        <v>62</v>
      </c>
    </row>
    <row r="562" spans="1:9" x14ac:dyDescent="0.2">
      <c r="A562" t="s">
        <v>272</v>
      </c>
      <c r="B562">
        <v>1550</v>
      </c>
      <c r="C562" t="s">
        <v>1</v>
      </c>
      <c r="D562" t="s">
        <v>33</v>
      </c>
      <c r="E562" t="s">
        <v>27</v>
      </c>
      <c r="F562" t="s">
        <v>15</v>
      </c>
      <c r="G562" t="s">
        <v>28</v>
      </c>
      <c r="H562" t="s">
        <v>273</v>
      </c>
      <c r="I562" t="s">
        <v>62</v>
      </c>
    </row>
    <row r="563" spans="1:9" x14ac:dyDescent="0.2">
      <c r="A563" t="s">
        <v>274</v>
      </c>
      <c r="B563">
        <v>314.97908722093922</v>
      </c>
      <c r="C563" t="s">
        <v>1</v>
      </c>
      <c r="D563" t="s">
        <v>33</v>
      </c>
      <c r="E563" t="s">
        <v>27</v>
      </c>
      <c r="F563" t="s">
        <v>15</v>
      </c>
      <c r="G563" t="s">
        <v>28</v>
      </c>
      <c r="H563" t="s">
        <v>500</v>
      </c>
      <c r="I563" t="s">
        <v>275</v>
      </c>
    </row>
    <row r="564" spans="1:9" x14ac:dyDescent="0.2">
      <c r="A564" t="s">
        <v>60</v>
      </c>
      <c r="B564">
        <v>49.041666666666657</v>
      </c>
      <c r="C564" t="s">
        <v>1</v>
      </c>
      <c r="D564" t="s">
        <v>26</v>
      </c>
      <c r="E564" t="s">
        <v>27</v>
      </c>
      <c r="F564" t="s">
        <v>15</v>
      </c>
      <c r="G564" t="s">
        <v>28</v>
      </c>
      <c r="H564" t="s">
        <v>54</v>
      </c>
      <c r="I564" t="s">
        <v>34</v>
      </c>
    </row>
    <row r="565" spans="1:9" x14ac:dyDescent="0.2">
      <c r="A565" t="s">
        <v>276</v>
      </c>
      <c r="B565">
        <v>-1433.932971014493</v>
      </c>
      <c r="C565" t="s">
        <v>1</v>
      </c>
      <c r="D565" t="s">
        <v>33</v>
      </c>
      <c r="E565" t="s">
        <v>27</v>
      </c>
      <c r="F565" t="s">
        <v>15</v>
      </c>
      <c r="G565" t="s">
        <v>28</v>
      </c>
      <c r="H565" t="s">
        <v>277</v>
      </c>
      <c r="I565" t="s">
        <v>25</v>
      </c>
    </row>
    <row r="566" spans="1:9" x14ac:dyDescent="0.2">
      <c r="A566" t="s">
        <v>501</v>
      </c>
      <c r="B566">
        <v>-314.97908722093922</v>
      </c>
      <c r="C566" t="s">
        <v>1</v>
      </c>
      <c r="D566" t="s">
        <v>33</v>
      </c>
      <c r="E566" t="s">
        <v>27</v>
      </c>
      <c r="F566" t="s">
        <v>15</v>
      </c>
      <c r="G566" t="s">
        <v>28</v>
      </c>
      <c r="H566" t="s">
        <v>502</v>
      </c>
      <c r="I566" t="s">
        <v>25</v>
      </c>
    </row>
    <row r="567" spans="1:9" x14ac:dyDescent="0.2">
      <c r="A567" t="s">
        <v>293</v>
      </c>
      <c r="B567">
        <v>1</v>
      </c>
      <c r="C567" t="s">
        <v>1</v>
      </c>
      <c r="D567" t="s">
        <v>26</v>
      </c>
      <c r="E567" t="s">
        <v>10</v>
      </c>
      <c r="F567" t="s">
        <v>15</v>
      </c>
      <c r="G567" t="s">
        <v>24</v>
      </c>
      <c r="H567" t="s">
        <v>73</v>
      </c>
      <c r="I567" t="s">
        <v>25</v>
      </c>
    </row>
    <row r="570" spans="1:9" ht="16" x14ac:dyDescent="0.2">
      <c r="A570" s="1" t="s">
        <v>4</v>
      </c>
      <c r="B570" s="1" t="s">
        <v>454</v>
      </c>
    </row>
    <row r="571" spans="1:9" x14ac:dyDescent="0.2">
      <c r="A571" t="s">
        <v>5</v>
      </c>
      <c r="B571" t="s">
        <v>26</v>
      </c>
    </row>
    <row r="572" spans="1:9" x14ac:dyDescent="0.2">
      <c r="A572" t="s">
        <v>6</v>
      </c>
      <c r="B572">
        <v>1</v>
      </c>
    </row>
    <row r="573" spans="1:9" x14ac:dyDescent="0.2">
      <c r="A573" t="s">
        <v>7</v>
      </c>
      <c r="B573" t="s">
        <v>65</v>
      </c>
    </row>
    <row r="574" spans="1:9" x14ac:dyDescent="0.2">
      <c r="A574" t="s">
        <v>8</v>
      </c>
      <c r="B574" t="s">
        <v>9</v>
      </c>
    </row>
    <row r="575" spans="1:9" x14ac:dyDescent="0.2">
      <c r="A575" t="s">
        <v>10</v>
      </c>
      <c r="B575" t="s">
        <v>10</v>
      </c>
    </row>
    <row r="576" spans="1:9" x14ac:dyDescent="0.2">
      <c r="A576" t="s">
        <v>11</v>
      </c>
      <c r="B576" t="s">
        <v>12</v>
      </c>
    </row>
    <row r="577" spans="1:9" x14ac:dyDescent="0.2">
      <c r="A577" t="s">
        <v>13</v>
      </c>
      <c r="B577" t="s">
        <v>291</v>
      </c>
    </row>
    <row r="578" spans="1:9" x14ac:dyDescent="0.2">
      <c r="A578" t="s">
        <v>14</v>
      </c>
      <c r="B578" t="s">
        <v>271</v>
      </c>
    </row>
    <row r="579" spans="1:9" x14ac:dyDescent="0.2">
      <c r="A579" t="s">
        <v>16</v>
      </c>
      <c r="B579" t="s">
        <v>15</v>
      </c>
    </row>
    <row r="580" spans="1:9" x14ac:dyDescent="0.2">
      <c r="A580" t="s">
        <v>17</v>
      </c>
      <c r="B580" t="s">
        <v>79</v>
      </c>
    </row>
    <row r="581" spans="1:9" ht="16" x14ac:dyDescent="0.2">
      <c r="A581" s="1" t="s">
        <v>18</v>
      </c>
    </row>
    <row r="582" spans="1:9" x14ac:dyDescent="0.2">
      <c r="A582" t="s">
        <v>19</v>
      </c>
      <c r="B582" t="s">
        <v>20</v>
      </c>
      <c r="C582" t="s">
        <v>21</v>
      </c>
      <c r="D582" t="s">
        <v>5</v>
      </c>
      <c r="E582" t="s">
        <v>10</v>
      </c>
      <c r="F582" t="s">
        <v>22</v>
      </c>
      <c r="G582" t="s">
        <v>8</v>
      </c>
      <c r="H582" t="s">
        <v>7</v>
      </c>
      <c r="I582" t="s">
        <v>23</v>
      </c>
    </row>
    <row r="583" spans="1:9" x14ac:dyDescent="0.2">
      <c r="A583" t="s">
        <v>486</v>
      </c>
      <c r="B583">
        <v>132.9166666666666</v>
      </c>
      <c r="C583" t="s">
        <v>1</v>
      </c>
      <c r="D583" t="s">
        <v>26</v>
      </c>
      <c r="E583" t="s">
        <v>27</v>
      </c>
      <c r="F583" t="s">
        <v>15</v>
      </c>
      <c r="G583" t="s">
        <v>28</v>
      </c>
      <c r="H583" t="s">
        <v>487</v>
      </c>
      <c r="I583" t="s">
        <v>25</v>
      </c>
    </row>
    <row r="584" spans="1:9" x14ac:dyDescent="0.2">
      <c r="A584" t="s">
        <v>61</v>
      </c>
      <c r="B584">
        <v>155</v>
      </c>
      <c r="C584" t="s">
        <v>1</v>
      </c>
      <c r="D584" t="s">
        <v>33</v>
      </c>
      <c r="E584" t="s">
        <v>27</v>
      </c>
      <c r="F584" t="s">
        <v>15</v>
      </c>
      <c r="G584" t="s">
        <v>28</v>
      </c>
      <c r="H584" t="s">
        <v>61</v>
      </c>
      <c r="I584" t="s">
        <v>62</v>
      </c>
    </row>
    <row r="585" spans="1:9" x14ac:dyDescent="0.2">
      <c r="A585" t="s">
        <v>272</v>
      </c>
      <c r="B585">
        <v>1550</v>
      </c>
      <c r="C585" t="s">
        <v>1</v>
      </c>
      <c r="D585" t="s">
        <v>33</v>
      </c>
      <c r="E585" t="s">
        <v>27</v>
      </c>
      <c r="F585" t="s">
        <v>15</v>
      </c>
      <c r="G585" t="s">
        <v>28</v>
      </c>
      <c r="H585" t="s">
        <v>273</v>
      </c>
      <c r="I585" t="s">
        <v>62</v>
      </c>
    </row>
    <row r="586" spans="1:9" x14ac:dyDescent="0.2">
      <c r="A586" t="s">
        <v>274</v>
      </c>
      <c r="B586">
        <v>301.43084166666671</v>
      </c>
      <c r="C586" t="s">
        <v>1</v>
      </c>
      <c r="D586" t="s">
        <v>33</v>
      </c>
      <c r="E586" t="s">
        <v>27</v>
      </c>
      <c r="F586" t="s">
        <v>15</v>
      </c>
      <c r="G586" t="s">
        <v>28</v>
      </c>
      <c r="H586" t="s">
        <v>500</v>
      </c>
      <c r="I586" t="s">
        <v>275</v>
      </c>
    </row>
    <row r="587" spans="1:9" x14ac:dyDescent="0.2">
      <c r="A587" t="s">
        <v>276</v>
      </c>
      <c r="B587">
        <v>-1527.916666666667</v>
      </c>
      <c r="C587" t="s">
        <v>1</v>
      </c>
      <c r="D587" t="s">
        <v>33</v>
      </c>
      <c r="E587" t="s">
        <v>27</v>
      </c>
      <c r="F587" t="s">
        <v>15</v>
      </c>
      <c r="G587" t="s">
        <v>28</v>
      </c>
      <c r="H587" t="s">
        <v>277</v>
      </c>
      <c r="I587" t="s">
        <v>25</v>
      </c>
    </row>
    <row r="588" spans="1:9" x14ac:dyDescent="0.2">
      <c r="A588" t="s">
        <v>501</v>
      </c>
      <c r="B588">
        <v>-301.43084166666671</v>
      </c>
      <c r="C588" t="s">
        <v>1</v>
      </c>
      <c r="D588" t="s">
        <v>33</v>
      </c>
      <c r="E588" t="s">
        <v>27</v>
      </c>
      <c r="F588" t="s">
        <v>15</v>
      </c>
      <c r="G588" t="s">
        <v>28</v>
      </c>
      <c r="H588" t="s">
        <v>502</v>
      </c>
      <c r="I588" t="s">
        <v>25</v>
      </c>
    </row>
    <row r="589" spans="1:9" x14ac:dyDescent="0.2">
      <c r="A589" t="s">
        <v>454</v>
      </c>
      <c r="B589">
        <v>1</v>
      </c>
      <c r="C589" t="s">
        <v>1</v>
      </c>
      <c r="D589" t="s">
        <v>26</v>
      </c>
      <c r="E589" t="s">
        <v>10</v>
      </c>
      <c r="F589" t="s">
        <v>15</v>
      </c>
      <c r="G589" t="s">
        <v>24</v>
      </c>
      <c r="H589" t="s">
        <v>65</v>
      </c>
      <c r="I589" t="s">
        <v>25</v>
      </c>
    </row>
    <row r="591" spans="1:9" ht="16" x14ac:dyDescent="0.2">
      <c r="A591" s="1" t="s">
        <v>4</v>
      </c>
      <c r="B591" s="1" t="s">
        <v>430</v>
      </c>
    </row>
    <row r="592" spans="1:9" x14ac:dyDescent="0.2">
      <c r="A592" t="s">
        <v>5</v>
      </c>
      <c r="B592" t="s">
        <v>26</v>
      </c>
    </row>
    <row r="593" spans="1:9" x14ac:dyDescent="0.2">
      <c r="A593" t="s">
        <v>6</v>
      </c>
      <c r="B593">
        <v>1</v>
      </c>
    </row>
    <row r="594" spans="1:9" x14ac:dyDescent="0.2">
      <c r="A594" t="s">
        <v>7</v>
      </c>
      <c r="B594" t="s">
        <v>67</v>
      </c>
    </row>
    <row r="595" spans="1:9" x14ac:dyDescent="0.2">
      <c r="A595" t="s">
        <v>8</v>
      </c>
      <c r="B595" t="s">
        <v>9</v>
      </c>
    </row>
    <row r="596" spans="1:9" x14ac:dyDescent="0.2">
      <c r="A596" t="s">
        <v>10</v>
      </c>
      <c r="B596" t="s">
        <v>10</v>
      </c>
    </row>
    <row r="597" spans="1:9" x14ac:dyDescent="0.2">
      <c r="A597" t="s">
        <v>11</v>
      </c>
      <c r="B597" t="s">
        <v>12</v>
      </c>
    </row>
    <row r="598" spans="1:9" x14ac:dyDescent="0.2">
      <c r="A598" t="s">
        <v>13</v>
      </c>
      <c r="B598" t="s">
        <v>291</v>
      </c>
    </row>
    <row r="599" spans="1:9" x14ac:dyDescent="0.2">
      <c r="A599" t="s">
        <v>14</v>
      </c>
      <c r="B599" t="s">
        <v>271</v>
      </c>
    </row>
    <row r="600" spans="1:9" x14ac:dyDescent="0.2">
      <c r="A600" t="s">
        <v>16</v>
      </c>
      <c r="B600" t="s">
        <v>15</v>
      </c>
    </row>
    <row r="601" spans="1:9" x14ac:dyDescent="0.2">
      <c r="A601" t="s">
        <v>17</v>
      </c>
      <c r="B601" t="s">
        <v>80</v>
      </c>
    </row>
    <row r="602" spans="1:9" ht="16" x14ac:dyDescent="0.2">
      <c r="A602" s="1" t="s">
        <v>18</v>
      </c>
    </row>
    <row r="603" spans="1:9" x14ac:dyDescent="0.2">
      <c r="A603" t="s">
        <v>19</v>
      </c>
      <c r="B603" t="s">
        <v>20</v>
      </c>
      <c r="C603" t="s">
        <v>21</v>
      </c>
      <c r="D603" t="s">
        <v>5</v>
      </c>
      <c r="E603" t="s">
        <v>10</v>
      </c>
      <c r="F603" t="s">
        <v>22</v>
      </c>
      <c r="G603" t="s">
        <v>8</v>
      </c>
      <c r="H603" t="s">
        <v>7</v>
      </c>
      <c r="I603" t="s">
        <v>23</v>
      </c>
    </row>
    <row r="604" spans="1:9" x14ac:dyDescent="0.2">
      <c r="A604" t="s">
        <v>486</v>
      </c>
      <c r="B604">
        <v>126.75</v>
      </c>
      <c r="C604" t="s">
        <v>1</v>
      </c>
      <c r="D604" t="s">
        <v>26</v>
      </c>
      <c r="E604" t="s">
        <v>27</v>
      </c>
      <c r="F604" t="s">
        <v>15</v>
      </c>
      <c r="G604" t="s">
        <v>28</v>
      </c>
      <c r="H604" t="s">
        <v>487</v>
      </c>
      <c r="I604" t="s">
        <v>25</v>
      </c>
    </row>
    <row r="605" spans="1:9" x14ac:dyDescent="0.2">
      <c r="A605" t="s">
        <v>61</v>
      </c>
      <c r="B605">
        <v>155</v>
      </c>
      <c r="C605" t="s">
        <v>1</v>
      </c>
      <c r="D605" t="s">
        <v>33</v>
      </c>
      <c r="E605" t="s">
        <v>27</v>
      </c>
      <c r="F605" t="s">
        <v>15</v>
      </c>
      <c r="G605" t="s">
        <v>28</v>
      </c>
      <c r="H605" t="s">
        <v>61</v>
      </c>
      <c r="I605" t="s">
        <v>62</v>
      </c>
    </row>
    <row r="606" spans="1:9" x14ac:dyDescent="0.2">
      <c r="A606" t="s">
        <v>272</v>
      </c>
      <c r="B606">
        <v>1550</v>
      </c>
      <c r="C606" t="s">
        <v>1</v>
      </c>
      <c r="D606" t="s">
        <v>33</v>
      </c>
      <c r="E606" t="s">
        <v>27</v>
      </c>
      <c r="F606" t="s">
        <v>15</v>
      </c>
      <c r="G606" t="s">
        <v>28</v>
      </c>
      <c r="H606" t="s">
        <v>273</v>
      </c>
      <c r="I606" t="s">
        <v>62</v>
      </c>
    </row>
    <row r="607" spans="1:9" x14ac:dyDescent="0.2">
      <c r="A607" t="s">
        <v>274</v>
      </c>
      <c r="B607">
        <v>300.523505</v>
      </c>
      <c r="C607" t="s">
        <v>1</v>
      </c>
      <c r="D607" t="s">
        <v>33</v>
      </c>
      <c r="E607" t="s">
        <v>27</v>
      </c>
      <c r="F607" t="s">
        <v>15</v>
      </c>
      <c r="G607" t="s">
        <v>28</v>
      </c>
      <c r="H607" t="s">
        <v>500</v>
      </c>
      <c r="I607" t="s">
        <v>275</v>
      </c>
    </row>
    <row r="608" spans="1:9" x14ac:dyDescent="0.2">
      <c r="A608" t="s">
        <v>276</v>
      </c>
      <c r="B608">
        <v>-1521.75</v>
      </c>
      <c r="C608" t="s">
        <v>1</v>
      </c>
      <c r="D608" t="s">
        <v>33</v>
      </c>
      <c r="E608" t="s">
        <v>27</v>
      </c>
      <c r="F608" t="s">
        <v>15</v>
      </c>
      <c r="G608" t="s">
        <v>28</v>
      </c>
      <c r="H608" t="s">
        <v>277</v>
      </c>
      <c r="I608" t="s">
        <v>25</v>
      </c>
    </row>
    <row r="609" spans="1:9" x14ac:dyDescent="0.2">
      <c r="A609" t="s">
        <v>501</v>
      </c>
      <c r="B609">
        <v>-300.523505</v>
      </c>
      <c r="C609" t="s">
        <v>1</v>
      </c>
      <c r="D609" t="s">
        <v>33</v>
      </c>
      <c r="E609" t="s">
        <v>27</v>
      </c>
      <c r="F609" t="s">
        <v>15</v>
      </c>
      <c r="G609" t="s">
        <v>28</v>
      </c>
      <c r="H609" t="s">
        <v>502</v>
      </c>
      <c r="I609" t="s">
        <v>25</v>
      </c>
    </row>
    <row r="610" spans="1:9" x14ac:dyDescent="0.2">
      <c r="A610" t="s">
        <v>430</v>
      </c>
      <c r="B610">
        <v>1</v>
      </c>
      <c r="C610" t="s">
        <v>1</v>
      </c>
      <c r="D610" t="s">
        <v>26</v>
      </c>
      <c r="E610" t="s">
        <v>10</v>
      </c>
      <c r="F610" t="s">
        <v>15</v>
      </c>
      <c r="G610" t="s">
        <v>24</v>
      </c>
      <c r="H610" t="s">
        <v>67</v>
      </c>
      <c r="I610" t="s">
        <v>25</v>
      </c>
    </row>
    <row r="612" spans="1:9" ht="16" x14ac:dyDescent="0.2">
      <c r="A612" s="1" t="s">
        <v>4</v>
      </c>
      <c r="B612" s="1" t="s">
        <v>406</v>
      </c>
    </row>
    <row r="613" spans="1:9" x14ac:dyDescent="0.2">
      <c r="A613" t="s">
        <v>5</v>
      </c>
      <c r="B613" t="s">
        <v>26</v>
      </c>
    </row>
    <row r="614" spans="1:9" x14ac:dyDescent="0.2">
      <c r="A614" t="s">
        <v>6</v>
      </c>
      <c r="B614">
        <v>1</v>
      </c>
    </row>
    <row r="615" spans="1:9" x14ac:dyDescent="0.2">
      <c r="A615" t="s">
        <v>7</v>
      </c>
      <c r="B615" t="s">
        <v>69</v>
      </c>
    </row>
    <row r="616" spans="1:9" x14ac:dyDescent="0.2">
      <c r="A616" t="s">
        <v>8</v>
      </c>
      <c r="B616" t="s">
        <v>9</v>
      </c>
    </row>
    <row r="617" spans="1:9" x14ac:dyDescent="0.2">
      <c r="A617" t="s">
        <v>10</v>
      </c>
      <c r="B617" t="s">
        <v>10</v>
      </c>
    </row>
    <row r="618" spans="1:9" x14ac:dyDescent="0.2">
      <c r="A618" t="s">
        <v>11</v>
      </c>
      <c r="B618" t="s">
        <v>12</v>
      </c>
    </row>
    <row r="619" spans="1:9" x14ac:dyDescent="0.2">
      <c r="A619" t="s">
        <v>13</v>
      </c>
      <c r="B619" t="s">
        <v>291</v>
      </c>
    </row>
    <row r="620" spans="1:9" x14ac:dyDescent="0.2">
      <c r="A620" t="s">
        <v>14</v>
      </c>
      <c r="B620" t="s">
        <v>271</v>
      </c>
    </row>
    <row r="621" spans="1:9" x14ac:dyDescent="0.2">
      <c r="A621" t="s">
        <v>16</v>
      </c>
      <c r="B621" t="s">
        <v>15</v>
      </c>
    </row>
    <row r="622" spans="1:9" x14ac:dyDescent="0.2">
      <c r="A622" t="s">
        <v>17</v>
      </c>
      <c r="B622" t="s">
        <v>81</v>
      </c>
    </row>
    <row r="623" spans="1:9" ht="16" x14ac:dyDescent="0.2">
      <c r="A623" s="1" t="s">
        <v>18</v>
      </c>
    </row>
    <row r="624" spans="1:9" x14ac:dyDescent="0.2">
      <c r="A624" t="s">
        <v>19</v>
      </c>
      <c r="B624" t="s">
        <v>20</v>
      </c>
      <c r="C624" t="s">
        <v>21</v>
      </c>
      <c r="D624" t="s">
        <v>5</v>
      </c>
      <c r="E624" t="s">
        <v>10</v>
      </c>
      <c r="F624" t="s">
        <v>22</v>
      </c>
      <c r="G624" t="s">
        <v>8</v>
      </c>
      <c r="H624" t="s">
        <v>7</v>
      </c>
      <c r="I624" t="s">
        <v>23</v>
      </c>
    </row>
    <row r="625" spans="1:9" x14ac:dyDescent="0.2">
      <c r="A625" t="s">
        <v>486</v>
      </c>
      <c r="B625">
        <v>120.5833333333333</v>
      </c>
      <c r="C625" t="s">
        <v>1</v>
      </c>
      <c r="D625" t="s">
        <v>26</v>
      </c>
      <c r="E625" t="s">
        <v>27</v>
      </c>
      <c r="F625" t="s">
        <v>15</v>
      </c>
      <c r="G625" t="s">
        <v>28</v>
      </c>
      <c r="H625" t="s">
        <v>487</v>
      </c>
      <c r="I625" t="s">
        <v>25</v>
      </c>
    </row>
    <row r="626" spans="1:9" x14ac:dyDescent="0.2">
      <c r="A626" t="s">
        <v>61</v>
      </c>
      <c r="B626">
        <v>155</v>
      </c>
      <c r="C626" t="s">
        <v>1</v>
      </c>
      <c r="D626" t="s">
        <v>33</v>
      </c>
      <c r="E626" t="s">
        <v>27</v>
      </c>
      <c r="F626" t="s">
        <v>15</v>
      </c>
      <c r="G626" t="s">
        <v>28</v>
      </c>
      <c r="H626" t="s">
        <v>61</v>
      </c>
      <c r="I626" t="s">
        <v>62</v>
      </c>
    </row>
    <row r="627" spans="1:9" x14ac:dyDescent="0.2">
      <c r="A627" t="s">
        <v>272</v>
      </c>
      <c r="B627">
        <v>1550</v>
      </c>
      <c r="C627" t="s">
        <v>1</v>
      </c>
      <c r="D627" t="s">
        <v>33</v>
      </c>
      <c r="E627" t="s">
        <v>27</v>
      </c>
      <c r="F627" t="s">
        <v>15</v>
      </c>
      <c r="G627" t="s">
        <v>28</v>
      </c>
      <c r="H627" t="s">
        <v>273</v>
      </c>
      <c r="I627" t="s">
        <v>62</v>
      </c>
    </row>
    <row r="628" spans="1:9" x14ac:dyDescent="0.2">
      <c r="A628" t="s">
        <v>274</v>
      </c>
      <c r="B628">
        <v>299.61616833333329</v>
      </c>
      <c r="C628" t="s">
        <v>1</v>
      </c>
      <c r="D628" t="s">
        <v>33</v>
      </c>
      <c r="E628" t="s">
        <v>27</v>
      </c>
      <c r="F628" t="s">
        <v>15</v>
      </c>
      <c r="G628" t="s">
        <v>28</v>
      </c>
      <c r="H628" t="s">
        <v>500</v>
      </c>
      <c r="I628" t="s">
        <v>275</v>
      </c>
    </row>
    <row r="629" spans="1:9" x14ac:dyDescent="0.2">
      <c r="A629" t="s">
        <v>276</v>
      </c>
      <c r="B629">
        <v>-1515.583333333333</v>
      </c>
      <c r="C629" t="s">
        <v>1</v>
      </c>
      <c r="D629" t="s">
        <v>33</v>
      </c>
      <c r="E629" t="s">
        <v>27</v>
      </c>
      <c r="F629" t="s">
        <v>15</v>
      </c>
      <c r="G629" t="s">
        <v>28</v>
      </c>
      <c r="H629" t="s">
        <v>277</v>
      </c>
      <c r="I629" t="s">
        <v>25</v>
      </c>
    </row>
    <row r="630" spans="1:9" x14ac:dyDescent="0.2">
      <c r="A630" t="s">
        <v>501</v>
      </c>
      <c r="B630">
        <v>-299.61616833333329</v>
      </c>
      <c r="C630" t="s">
        <v>1</v>
      </c>
      <c r="D630" t="s">
        <v>33</v>
      </c>
      <c r="E630" t="s">
        <v>27</v>
      </c>
      <c r="F630" t="s">
        <v>15</v>
      </c>
      <c r="G630" t="s">
        <v>28</v>
      </c>
      <c r="H630" t="s">
        <v>502</v>
      </c>
      <c r="I630" t="s">
        <v>25</v>
      </c>
    </row>
    <row r="631" spans="1:9" x14ac:dyDescent="0.2">
      <c r="A631" t="s">
        <v>406</v>
      </c>
      <c r="B631">
        <v>1</v>
      </c>
      <c r="C631" t="s">
        <v>1</v>
      </c>
      <c r="D631" t="s">
        <v>26</v>
      </c>
      <c r="E631" t="s">
        <v>10</v>
      </c>
      <c r="F631" t="s">
        <v>15</v>
      </c>
      <c r="G631" t="s">
        <v>24</v>
      </c>
      <c r="H631" t="s">
        <v>69</v>
      </c>
      <c r="I631" t="s">
        <v>25</v>
      </c>
    </row>
    <row r="633" spans="1:9" ht="16" x14ac:dyDescent="0.2">
      <c r="A633" s="1" t="s">
        <v>4</v>
      </c>
      <c r="B633" s="1" t="s">
        <v>350</v>
      </c>
    </row>
    <row r="634" spans="1:9" x14ac:dyDescent="0.2">
      <c r="A634" t="s">
        <v>5</v>
      </c>
      <c r="B634" t="s">
        <v>26</v>
      </c>
    </row>
    <row r="635" spans="1:9" x14ac:dyDescent="0.2">
      <c r="A635" t="s">
        <v>6</v>
      </c>
      <c r="B635">
        <v>1</v>
      </c>
    </row>
    <row r="636" spans="1:9" x14ac:dyDescent="0.2">
      <c r="A636" t="s">
        <v>7</v>
      </c>
      <c r="B636" t="s">
        <v>71</v>
      </c>
    </row>
    <row r="637" spans="1:9" x14ac:dyDescent="0.2">
      <c r="A637" t="s">
        <v>8</v>
      </c>
      <c r="B637" t="s">
        <v>9</v>
      </c>
    </row>
    <row r="638" spans="1:9" x14ac:dyDescent="0.2">
      <c r="A638" t="s">
        <v>10</v>
      </c>
      <c r="B638" t="s">
        <v>10</v>
      </c>
    </row>
    <row r="639" spans="1:9" x14ac:dyDescent="0.2">
      <c r="A639" t="s">
        <v>11</v>
      </c>
      <c r="B639" t="s">
        <v>12</v>
      </c>
    </row>
    <row r="640" spans="1:9" x14ac:dyDescent="0.2">
      <c r="A640" t="s">
        <v>13</v>
      </c>
      <c r="B640" t="s">
        <v>291</v>
      </c>
    </row>
    <row r="641" spans="1:9" x14ac:dyDescent="0.2">
      <c r="A641" t="s">
        <v>14</v>
      </c>
      <c r="B641" t="s">
        <v>271</v>
      </c>
    </row>
    <row r="642" spans="1:9" x14ac:dyDescent="0.2">
      <c r="A642" t="s">
        <v>16</v>
      </c>
      <c r="B642" t="s">
        <v>15</v>
      </c>
    </row>
    <row r="643" spans="1:9" x14ac:dyDescent="0.2">
      <c r="A643" t="s">
        <v>17</v>
      </c>
      <c r="B643" t="s">
        <v>82</v>
      </c>
    </row>
    <row r="644" spans="1:9" ht="16" x14ac:dyDescent="0.2">
      <c r="A644" s="1" t="s">
        <v>18</v>
      </c>
    </row>
    <row r="645" spans="1:9" x14ac:dyDescent="0.2">
      <c r="A645" t="s">
        <v>19</v>
      </c>
      <c r="B645" t="s">
        <v>20</v>
      </c>
      <c r="C645" t="s">
        <v>21</v>
      </c>
      <c r="D645" t="s">
        <v>5</v>
      </c>
      <c r="E645" t="s">
        <v>10</v>
      </c>
      <c r="F645" t="s">
        <v>22</v>
      </c>
      <c r="G645" t="s">
        <v>8</v>
      </c>
      <c r="H645" t="s">
        <v>7</v>
      </c>
      <c r="I645" t="s">
        <v>23</v>
      </c>
    </row>
    <row r="646" spans="1:9" x14ac:dyDescent="0.2">
      <c r="A646" t="s">
        <v>486</v>
      </c>
      <c r="B646">
        <v>110.76358695652171</v>
      </c>
      <c r="C646" t="s">
        <v>1</v>
      </c>
      <c r="D646" t="s">
        <v>26</v>
      </c>
      <c r="E646" t="s">
        <v>27</v>
      </c>
      <c r="F646" t="s">
        <v>15</v>
      </c>
      <c r="G646" t="s">
        <v>28</v>
      </c>
      <c r="H646" t="s">
        <v>487</v>
      </c>
      <c r="I646" t="s">
        <v>25</v>
      </c>
    </row>
    <row r="647" spans="1:9" x14ac:dyDescent="0.2">
      <c r="A647" t="s">
        <v>61</v>
      </c>
      <c r="B647">
        <v>160.054347826087</v>
      </c>
      <c r="C647" t="s">
        <v>1</v>
      </c>
      <c r="D647" t="s">
        <v>33</v>
      </c>
      <c r="E647" t="s">
        <v>27</v>
      </c>
      <c r="F647" t="s">
        <v>15</v>
      </c>
      <c r="G647" t="s">
        <v>28</v>
      </c>
      <c r="H647" t="s">
        <v>61</v>
      </c>
      <c r="I647" t="s">
        <v>62</v>
      </c>
    </row>
    <row r="648" spans="1:9" x14ac:dyDescent="0.2">
      <c r="A648" t="s">
        <v>272</v>
      </c>
      <c r="B648">
        <v>1550</v>
      </c>
      <c r="C648" t="s">
        <v>1</v>
      </c>
      <c r="D648" t="s">
        <v>33</v>
      </c>
      <c r="E648" t="s">
        <v>27</v>
      </c>
      <c r="F648" t="s">
        <v>15</v>
      </c>
      <c r="G648" t="s">
        <v>28</v>
      </c>
      <c r="H648" t="s">
        <v>273</v>
      </c>
      <c r="I648" t="s">
        <v>62</v>
      </c>
    </row>
    <row r="649" spans="1:9" x14ac:dyDescent="0.2">
      <c r="A649" t="s">
        <v>274</v>
      </c>
      <c r="B649">
        <v>295.46552673203348</v>
      </c>
      <c r="C649" t="s">
        <v>1</v>
      </c>
      <c r="D649" t="s">
        <v>33</v>
      </c>
      <c r="E649" t="s">
        <v>27</v>
      </c>
      <c r="F649" t="s">
        <v>15</v>
      </c>
      <c r="G649" t="s">
        <v>28</v>
      </c>
      <c r="H649" t="s">
        <v>500</v>
      </c>
      <c r="I649" t="s">
        <v>275</v>
      </c>
    </row>
    <row r="650" spans="1:9" x14ac:dyDescent="0.2">
      <c r="A650" t="s">
        <v>276</v>
      </c>
      <c r="B650">
        <v>-1500.709239130435</v>
      </c>
      <c r="C650" t="s">
        <v>1</v>
      </c>
      <c r="D650" t="s">
        <v>33</v>
      </c>
      <c r="E650" t="s">
        <v>27</v>
      </c>
      <c r="F650" t="s">
        <v>15</v>
      </c>
      <c r="G650" t="s">
        <v>28</v>
      </c>
      <c r="H650" t="s">
        <v>277</v>
      </c>
      <c r="I650" t="s">
        <v>25</v>
      </c>
    </row>
    <row r="651" spans="1:9" x14ac:dyDescent="0.2">
      <c r="A651" t="s">
        <v>501</v>
      </c>
      <c r="B651">
        <v>-295.46552673203348</v>
      </c>
      <c r="C651" t="s">
        <v>1</v>
      </c>
      <c r="D651" t="s">
        <v>33</v>
      </c>
      <c r="E651" t="s">
        <v>27</v>
      </c>
      <c r="F651" t="s">
        <v>15</v>
      </c>
      <c r="G651" t="s">
        <v>28</v>
      </c>
      <c r="H651" t="s">
        <v>502</v>
      </c>
      <c r="I651" t="s">
        <v>25</v>
      </c>
    </row>
    <row r="652" spans="1:9" x14ac:dyDescent="0.2">
      <c r="A652" t="s">
        <v>350</v>
      </c>
      <c r="B652">
        <v>1</v>
      </c>
      <c r="C652" t="s">
        <v>1</v>
      </c>
      <c r="D652" t="s">
        <v>26</v>
      </c>
      <c r="E652" t="s">
        <v>10</v>
      </c>
      <c r="F652" t="s">
        <v>15</v>
      </c>
      <c r="G652" t="s">
        <v>24</v>
      </c>
      <c r="H652" t="s">
        <v>71</v>
      </c>
      <c r="I652" t="s">
        <v>25</v>
      </c>
    </row>
    <row r="654" spans="1:9" ht="16" x14ac:dyDescent="0.2">
      <c r="A654" s="1" t="s">
        <v>4</v>
      </c>
      <c r="B654" s="1" t="s">
        <v>294</v>
      </c>
    </row>
    <row r="655" spans="1:9" x14ac:dyDescent="0.2">
      <c r="A655" t="s">
        <v>5</v>
      </c>
      <c r="B655" t="s">
        <v>26</v>
      </c>
    </row>
    <row r="656" spans="1:9" x14ac:dyDescent="0.2">
      <c r="A656" t="s">
        <v>6</v>
      </c>
      <c r="B656">
        <v>1</v>
      </c>
    </row>
    <row r="657" spans="1:9" x14ac:dyDescent="0.2">
      <c r="A657" t="s">
        <v>7</v>
      </c>
      <c r="B657" t="s">
        <v>73</v>
      </c>
    </row>
    <row r="658" spans="1:9" x14ac:dyDescent="0.2">
      <c r="A658" t="s">
        <v>8</v>
      </c>
      <c r="B658" t="s">
        <v>9</v>
      </c>
    </row>
    <row r="659" spans="1:9" x14ac:dyDescent="0.2">
      <c r="A659" t="s">
        <v>10</v>
      </c>
      <c r="B659" t="s">
        <v>10</v>
      </c>
    </row>
    <row r="660" spans="1:9" x14ac:dyDescent="0.2">
      <c r="A660" t="s">
        <v>11</v>
      </c>
      <c r="B660" t="s">
        <v>12</v>
      </c>
    </row>
    <row r="661" spans="1:9" x14ac:dyDescent="0.2">
      <c r="A661" t="s">
        <v>13</v>
      </c>
      <c r="B661" t="s">
        <v>291</v>
      </c>
    </row>
    <row r="662" spans="1:9" x14ac:dyDescent="0.2">
      <c r="A662" t="s">
        <v>14</v>
      </c>
      <c r="B662" t="s">
        <v>271</v>
      </c>
    </row>
    <row r="663" spans="1:9" x14ac:dyDescent="0.2">
      <c r="A663" t="s">
        <v>16</v>
      </c>
      <c r="B663" t="s">
        <v>15</v>
      </c>
    </row>
    <row r="664" spans="1:9" x14ac:dyDescent="0.2">
      <c r="A664" t="s">
        <v>17</v>
      </c>
      <c r="B664" t="s">
        <v>83</v>
      </c>
    </row>
    <row r="665" spans="1:9" ht="16" x14ac:dyDescent="0.2">
      <c r="A665" s="1" t="s">
        <v>18</v>
      </c>
    </row>
    <row r="666" spans="1:9" x14ac:dyDescent="0.2">
      <c r="A666" t="s">
        <v>19</v>
      </c>
      <c r="B666" t="s">
        <v>20</v>
      </c>
      <c r="C666" t="s">
        <v>21</v>
      </c>
      <c r="D666" t="s">
        <v>5</v>
      </c>
      <c r="E666" t="s">
        <v>10</v>
      </c>
      <c r="F666" t="s">
        <v>22</v>
      </c>
      <c r="G666" t="s">
        <v>8</v>
      </c>
      <c r="H666" t="s">
        <v>7</v>
      </c>
      <c r="I666" t="s">
        <v>23</v>
      </c>
    </row>
    <row r="667" spans="1:9" x14ac:dyDescent="0.2">
      <c r="A667" t="s">
        <v>486</v>
      </c>
      <c r="B667">
        <v>100.9438405797102</v>
      </c>
      <c r="C667" t="s">
        <v>1</v>
      </c>
      <c r="D667" t="s">
        <v>26</v>
      </c>
      <c r="E667" t="s">
        <v>27</v>
      </c>
      <c r="F667" t="s">
        <v>15</v>
      </c>
      <c r="G667" t="s">
        <v>28</v>
      </c>
      <c r="H667" t="s">
        <v>487</v>
      </c>
      <c r="I667" t="s">
        <v>25</v>
      </c>
    </row>
    <row r="668" spans="1:9" x14ac:dyDescent="0.2">
      <c r="A668" t="s">
        <v>61</v>
      </c>
      <c r="B668">
        <v>165.10869565217391</v>
      </c>
      <c r="C668" t="s">
        <v>1</v>
      </c>
      <c r="D668" t="s">
        <v>33</v>
      </c>
      <c r="E668" t="s">
        <v>27</v>
      </c>
      <c r="F668" t="s">
        <v>15</v>
      </c>
      <c r="G668" t="s">
        <v>28</v>
      </c>
      <c r="H668" t="s">
        <v>61</v>
      </c>
      <c r="I668" t="s">
        <v>62</v>
      </c>
    </row>
    <row r="669" spans="1:9" x14ac:dyDescent="0.2">
      <c r="A669" t="s">
        <v>272</v>
      </c>
      <c r="B669">
        <v>1550</v>
      </c>
      <c r="C669" t="s">
        <v>1</v>
      </c>
      <c r="D669" t="s">
        <v>33</v>
      </c>
      <c r="E669" t="s">
        <v>27</v>
      </c>
      <c r="F669" t="s">
        <v>15</v>
      </c>
      <c r="G669" t="s">
        <v>28</v>
      </c>
      <c r="H669" t="s">
        <v>273</v>
      </c>
      <c r="I669" t="s">
        <v>62</v>
      </c>
    </row>
    <row r="670" spans="1:9" x14ac:dyDescent="0.2">
      <c r="A670" t="s">
        <v>274</v>
      </c>
      <c r="B670">
        <v>291.34059619979041</v>
      </c>
      <c r="C670" t="s">
        <v>1</v>
      </c>
      <c r="D670" t="s">
        <v>33</v>
      </c>
      <c r="E670" t="s">
        <v>27</v>
      </c>
      <c r="F670" t="s">
        <v>15</v>
      </c>
      <c r="G670" t="s">
        <v>28</v>
      </c>
      <c r="H670" t="s">
        <v>500</v>
      </c>
      <c r="I670" t="s">
        <v>275</v>
      </c>
    </row>
    <row r="671" spans="1:9" x14ac:dyDescent="0.2">
      <c r="A671" t="s">
        <v>276</v>
      </c>
      <c r="B671">
        <v>-1485.835144927536</v>
      </c>
      <c r="C671" t="s">
        <v>1</v>
      </c>
      <c r="D671" t="s">
        <v>33</v>
      </c>
      <c r="E671" t="s">
        <v>27</v>
      </c>
      <c r="F671" t="s">
        <v>15</v>
      </c>
      <c r="G671" t="s">
        <v>28</v>
      </c>
      <c r="H671" t="s">
        <v>277</v>
      </c>
      <c r="I671" t="s">
        <v>25</v>
      </c>
    </row>
    <row r="672" spans="1:9" x14ac:dyDescent="0.2">
      <c r="A672" t="s">
        <v>501</v>
      </c>
      <c r="B672">
        <v>-291.34059619979041</v>
      </c>
      <c r="C672" t="s">
        <v>1</v>
      </c>
      <c r="D672" t="s">
        <v>33</v>
      </c>
      <c r="E672" t="s">
        <v>27</v>
      </c>
      <c r="F672" t="s">
        <v>15</v>
      </c>
      <c r="G672" t="s">
        <v>28</v>
      </c>
      <c r="H672" t="s">
        <v>502</v>
      </c>
      <c r="I672" t="s">
        <v>25</v>
      </c>
    </row>
    <row r="673" spans="1:9" x14ac:dyDescent="0.2">
      <c r="A673" t="s">
        <v>294</v>
      </c>
      <c r="B673">
        <v>1</v>
      </c>
      <c r="C673" t="s">
        <v>1</v>
      </c>
      <c r="D673" t="s">
        <v>26</v>
      </c>
      <c r="E673" t="s">
        <v>10</v>
      </c>
      <c r="F673" t="s">
        <v>15</v>
      </c>
      <c r="G673" t="s">
        <v>24</v>
      </c>
      <c r="H673" t="s">
        <v>73</v>
      </c>
      <c r="I673" t="s">
        <v>25</v>
      </c>
    </row>
    <row r="676" spans="1:9" ht="16" x14ac:dyDescent="0.2">
      <c r="A676" s="1" t="s">
        <v>4</v>
      </c>
      <c r="B676" s="1" t="s">
        <v>351</v>
      </c>
    </row>
    <row r="677" spans="1:9" x14ac:dyDescent="0.2">
      <c r="A677" t="s">
        <v>5</v>
      </c>
      <c r="B677" t="s">
        <v>26</v>
      </c>
    </row>
    <row r="678" spans="1:9" x14ac:dyDescent="0.2">
      <c r="A678" t="s">
        <v>6</v>
      </c>
      <c r="B678">
        <v>1</v>
      </c>
    </row>
    <row r="679" spans="1:9" x14ac:dyDescent="0.2">
      <c r="A679" t="s">
        <v>7</v>
      </c>
      <c r="B679" t="s">
        <v>71</v>
      </c>
    </row>
    <row r="680" spans="1:9" x14ac:dyDescent="0.2">
      <c r="A680" t="s">
        <v>8</v>
      </c>
      <c r="B680" t="s">
        <v>9</v>
      </c>
    </row>
    <row r="681" spans="1:9" x14ac:dyDescent="0.2">
      <c r="A681" t="s">
        <v>10</v>
      </c>
      <c r="B681" t="s">
        <v>10</v>
      </c>
    </row>
    <row r="682" spans="1:9" x14ac:dyDescent="0.2">
      <c r="A682" t="s">
        <v>11</v>
      </c>
      <c r="B682" t="s">
        <v>12</v>
      </c>
    </row>
    <row r="683" spans="1:9" x14ac:dyDescent="0.2">
      <c r="A683" t="s">
        <v>13</v>
      </c>
      <c r="B683" t="s">
        <v>291</v>
      </c>
    </row>
    <row r="684" spans="1:9" x14ac:dyDescent="0.2">
      <c r="A684" t="s">
        <v>14</v>
      </c>
      <c r="B684" t="s">
        <v>271</v>
      </c>
    </row>
    <row r="685" spans="1:9" x14ac:dyDescent="0.2">
      <c r="A685" t="s">
        <v>16</v>
      </c>
      <c r="B685" t="s">
        <v>15</v>
      </c>
    </row>
    <row r="686" spans="1:9" x14ac:dyDescent="0.2">
      <c r="A686" t="s">
        <v>17</v>
      </c>
      <c r="B686" t="s">
        <v>84</v>
      </c>
    </row>
    <row r="687" spans="1:9" ht="16" x14ac:dyDescent="0.2">
      <c r="A687" s="1" t="s">
        <v>18</v>
      </c>
    </row>
    <row r="688" spans="1:9" x14ac:dyDescent="0.2">
      <c r="A688" t="s">
        <v>19</v>
      </c>
      <c r="B688" t="s">
        <v>20</v>
      </c>
      <c r="C688" t="s">
        <v>5</v>
      </c>
      <c r="D688" t="s">
        <v>10</v>
      </c>
      <c r="E688" t="s">
        <v>22</v>
      </c>
      <c r="F688" t="s">
        <v>8</v>
      </c>
      <c r="G688" t="s">
        <v>7</v>
      </c>
      <c r="H688" t="s">
        <v>23</v>
      </c>
    </row>
    <row r="689" spans="1:8" x14ac:dyDescent="0.2">
      <c r="A689" t="s">
        <v>610</v>
      </c>
      <c r="B689">
        <f>62</f>
        <v>62</v>
      </c>
      <c r="C689" t="s">
        <v>33</v>
      </c>
      <c r="D689" t="s">
        <v>39</v>
      </c>
      <c r="F689" t="s">
        <v>28</v>
      </c>
      <c r="G689" t="s">
        <v>611</v>
      </c>
      <c r="H689" t="s">
        <v>34</v>
      </c>
    </row>
    <row r="690" spans="1:8" x14ac:dyDescent="0.2">
      <c r="A690" t="s">
        <v>61</v>
      </c>
      <c r="B690">
        <v>166.00702561167091</v>
      </c>
      <c r="C690" t="s">
        <v>33</v>
      </c>
      <c r="D690" t="s">
        <v>27</v>
      </c>
      <c r="E690" t="s">
        <v>15</v>
      </c>
      <c r="F690" t="s">
        <v>28</v>
      </c>
      <c r="G690" t="s">
        <v>61</v>
      </c>
      <c r="H690" t="s">
        <v>62</v>
      </c>
    </row>
    <row r="691" spans="1:8" x14ac:dyDescent="0.2">
      <c r="A691" t="s">
        <v>283</v>
      </c>
      <c r="B691">
        <v>5.9804347826086959</v>
      </c>
      <c r="C691" t="s">
        <v>33</v>
      </c>
      <c r="D691" t="s">
        <v>27</v>
      </c>
      <c r="E691" t="s">
        <v>15</v>
      </c>
      <c r="F691" t="s">
        <v>28</v>
      </c>
      <c r="G691" t="s">
        <v>284</v>
      </c>
      <c r="H691" t="s">
        <v>34</v>
      </c>
    </row>
    <row r="692" spans="1:8" x14ac:dyDescent="0.2">
      <c r="A692" t="s">
        <v>285</v>
      </c>
      <c r="B692">
        <v>4.4853260869565217</v>
      </c>
      <c r="C692" t="s">
        <v>33</v>
      </c>
      <c r="D692" t="s">
        <v>27</v>
      </c>
      <c r="E692" t="s">
        <v>15</v>
      </c>
      <c r="F692" t="s">
        <v>28</v>
      </c>
      <c r="G692" t="s">
        <v>286</v>
      </c>
      <c r="H692" t="s">
        <v>34</v>
      </c>
    </row>
    <row r="693" spans="1:8" x14ac:dyDescent="0.2">
      <c r="A693" t="s">
        <v>278</v>
      </c>
      <c r="B693">
        <v>58.81623162085004</v>
      </c>
      <c r="C693" t="s">
        <v>33</v>
      </c>
      <c r="D693" t="s">
        <v>27</v>
      </c>
      <c r="E693" t="s">
        <v>15</v>
      </c>
      <c r="F693" t="s">
        <v>28</v>
      </c>
      <c r="G693" t="s">
        <v>279</v>
      </c>
      <c r="H693" t="s">
        <v>275</v>
      </c>
    </row>
    <row r="694" spans="1:8" x14ac:dyDescent="0.2">
      <c r="A694" t="s">
        <v>272</v>
      </c>
      <c r="B694">
        <v>1607.646984870918</v>
      </c>
      <c r="C694" t="s">
        <v>33</v>
      </c>
      <c r="D694" t="s">
        <v>27</v>
      </c>
      <c r="E694" t="s">
        <v>15</v>
      </c>
      <c r="F694" t="s">
        <v>28</v>
      </c>
      <c r="G694" t="s">
        <v>273</v>
      </c>
      <c r="H694" t="s">
        <v>62</v>
      </c>
    </row>
    <row r="695" spans="1:8" x14ac:dyDescent="0.2">
      <c r="A695" t="s">
        <v>274</v>
      </c>
      <c r="B695">
        <v>318.69561426456443</v>
      </c>
      <c r="C695" t="s">
        <v>33</v>
      </c>
      <c r="D695" t="s">
        <v>27</v>
      </c>
      <c r="E695" t="s">
        <v>15</v>
      </c>
      <c r="F695" t="s">
        <v>28</v>
      </c>
      <c r="G695" t="s">
        <v>500</v>
      </c>
      <c r="H695" t="s">
        <v>275</v>
      </c>
    </row>
    <row r="696" spans="1:8" x14ac:dyDescent="0.2">
      <c r="A696" t="s">
        <v>287</v>
      </c>
      <c r="B696">
        <v>8.9706521739130434</v>
      </c>
      <c r="C696" t="s">
        <v>33</v>
      </c>
      <c r="D696" t="s">
        <v>27</v>
      </c>
      <c r="E696" t="s">
        <v>15</v>
      </c>
      <c r="F696" t="s">
        <v>28</v>
      </c>
      <c r="G696" t="s">
        <v>288</v>
      </c>
      <c r="H696" t="s">
        <v>34</v>
      </c>
    </row>
    <row r="697" spans="1:8" x14ac:dyDescent="0.2">
      <c r="A697" t="s">
        <v>289</v>
      </c>
      <c r="B697">
        <v>3.9869565217391298</v>
      </c>
      <c r="C697" t="s">
        <v>33</v>
      </c>
      <c r="D697" t="s">
        <v>27</v>
      </c>
      <c r="E697" t="s">
        <v>15</v>
      </c>
      <c r="F697" t="s">
        <v>28</v>
      </c>
      <c r="G697" t="s">
        <v>290</v>
      </c>
      <c r="H697" t="s">
        <v>34</v>
      </c>
    </row>
    <row r="698" spans="1:8" x14ac:dyDescent="0.2">
      <c r="A698" t="s">
        <v>280</v>
      </c>
      <c r="B698">
        <v>-82.239601186067432</v>
      </c>
      <c r="C698" t="s">
        <v>33</v>
      </c>
      <c r="D698" t="s">
        <v>27</v>
      </c>
      <c r="E698" t="s">
        <v>15</v>
      </c>
      <c r="F698" t="s">
        <v>28</v>
      </c>
      <c r="G698" t="s">
        <v>281</v>
      </c>
      <c r="H698" t="s">
        <v>282</v>
      </c>
    </row>
    <row r="699" spans="1:8" x14ac:dyDescent="0.2">
      <c r="A699" t="s">
        <v>60</v>
      </c>
      <c r="B699">
        <v>43.283333333333331</v>
      </c>
      <c r="C699" t="s">
        <v>26</v>
      </c>
      <c r="D699" t="s">
        <v>27</v>
      </c>
      <c r="E699" t="s">
        <v>15</v>
      </c>
      <c r="F699" t="s">
        <v>28</v>
      </c>
      <c r="G699" t="s">
        <v>54</v>
      </c>
      <c r="H699" t="s">
        <v>34</v>
      </c>
    </row>
    <row r="700" spans="1:8" x14ac:dyDescent="0.2">
      <c r="A700" t="s">
        <v>276</v>
      </c>
      <c r="B700">
        <v>-1484.923292592581</v>
      </c>
      <c r="C700" t="s">
        <v>33</v>
      </c>
      <c r="D700" t="s">
        <v>27</v>
      </c>
      <c r="E700" t="s">
        <v>15</v>
      </c>
      <c r="F700" t="s">
        <v>28</v>
      </c>
      <c r="G700" t="s">
        <v>277</v>
      </c>
      <c r="H700" t="s">
        <v>25</v>
      </c>
    </row>
    <row r="701" spans="1:8" x14ac:dyDescent="0.2">
      <c r="A701" t="s">
        <v>501</v>
      </c>
      <c r="B701">
        <v>-318.69561426456443</v>
      </c>
      <c r="C701" t="s">
        <v>33</v>
      </c>
      <c r="D701" t="s">
        <v>27</v>
      </c>
      <c r="E701" t="s">
        <v>15</v>
      </c>
      <c r="F701" t="s">
        <v>28</v>
      </c>
      <c r="G701" t="s">
        <v>502</v>
      </c>
      <c r="H701" t="s">
        <v>25</v>
      </c>
    </row>
    <row r="702" spans="1:8" x14ac:dyDescent="0.2">
      <c r="A702" t="s">
        <v>56</v>
      </c>
      <c r="B702">
        <v>373.55246196355012</v>
      </c>
      <c r="C702" t="s">
        <v>63</v>
      </c>
      <c r="D702" t="s">
        <v>39</v>
      </c>
      <c r="E702" t="s">
        <v>15</v>
      </c>
      <c r="F702" t="s">
        <v>28</v>
      </c>
      <c r="G702" t="s">
        <v>58</v>
      </c>
      <c r="H702" t="s">
        <v>34</v>
      </c>
    </row>
    <row r="703" spans="1:8" x14ac:dyDescent="0.2">
      <c r="A703" t="s">
        <v>351</v>
      </c>
      <c r="B703">
        <v>1</v>
      </c>
      <c r="C703" t="s">
        <v>26</v>
      </c>
      <c r="D703" t="s">
        <v>10</v>
      </c>
      <c r="E703" t="s">
        <v>15</v>
      </c>
      <c r="F703" t="s">
        <v>24</v>
      </c>
      <c r="G703" t="s">
        <v>71</v>
      </c>
      <c r="H703" t="s">
        <v>25</v>
      </c>
    </row>
    <row r="705" spans="1:8" ht="16" x14ac:dyDescent="0.2">
      <c r="A705" s="1" t="s">
        <v>4</v>
      </c>
      <c r="B705" s="1" t="s">
        <v>295</v>
      </c>
    </row>
    <row r="706" spans="1:8" x14ac:dyDescent="0.2">
      <c r="A706" t="s">
        <v>5</v>
      </c>
      <c r="B706" t="s">
        <v>26</v>
      </c>
    </row>
    <row r="707" spans="1:8" x14ac:dyDescent="0.2">
      <c r="A707" t="s">
        <v>6</v>
      </c>
      <c r="B707">
        <v>1</v>
      </c>
    </row>
    <row r="708" spans="1:8" x14ac:dyDescent="0.2">
      <c r="A708" t="s">
        <v>7</v>
      </c>
      <c r="B708" t="s">
        <v>73</v>
      </c>
    </row>
    <row r="709" spans="1:8" x14ac:dyDescent="0.2">
      <c r="A709" t="s">
        <v>8</v>
      </c>
      <c r="B709" t="s">
        <v>9</v>
      </c>
    </row>
    <row r="710" spans="1:8" x14ac:dyDescent="0.2">
      <c r="A710" t="s">
        <v>10</v>
      </c>
      <c r="B710" t="s">
        <v>10</v>
      </c>
    </row>
    <row r="711" spans="1:8" x14ac:dyDescent="0.2">
      <c r="A711" t="s">
        <v>11</v>
      </c>
      <c r="B711" t="s">
        <v>12</v>
      </c>
    </row>
    <row r="712" spans="1:8" x14ac:dyDescent="0.2">
      <c r="A712" t="s">
        <v>13</v>
      </c>
      <c r="B712" t="s">
        <v>291</v>
      </c>
    </row>
    <row r="713" spans="1:8" x14ac:dyDescent="0.2">
      <c r="A713" t="s">
        <v>14</v>
      </c>
      <c r="B713" t="s">
        <v>271</v>
      </c>
    </row>
    <row r="714" spans="1:8" x14ac:dyDescent="0.2">
      <c r="A714" t="s">
        <v>16</v>
      </c>
      <c r="B714" t="s">
        <v>15</v>
      </c>
    </row>
    <row r="715" spans="1:8" x14ac:dyDescent="0.2">
      <c r="A715" t="s">
        <v>17</v>
      </c>
      <c r="B715" t="s">
        <v>85</v>
      </c>
    </row>
    <row r="716" spans="1:8" ht="16" x14ac:dyDescent="0.2">
      <c r="A716" s="1" t="s">
        <v>18</v>
      </c>
    </row>
    <row r="717" spans="1:8" x14ac:dyDescent="0.2">
      <c r="A717" t="s">
        <v>19</v>
      </c>
      <c r="B717" t="s">
        <v>20</v>
      </c>
      <c r="C717" t="s">
        <v>5</v>
      </c>
      <c r="D717" t="s">
        <v>10</v>
      </c>
      <c r="E717" t="s">
        <v>22</v>
      </c>
      <c r="F717" t="s">
        <v>8</v>
      </c>
      <c r="G717" t="s">
        <v>7</v>
      </c>
      <c r="H717" t="s">
        <v>23</v>
      </c>
    </row>
    <row r="718" spans="1:8" x14ac:dyDescent="0.2">
      <c r="A718" t="s">
        <v>610</v>
      </c>
      <c r="B718">
        <f>78.5</f>
        <v>78.5</v>
      </c>
      <c r="C718" t="s">
        <v>33</v>
      </c>
      <c r="D718" t="s">
        <v>39</v>
      </c>
      <c r="F718" t="s">
        <v>28</v>
      </c>
      <c r="G718" t="s">
        <v>611</v>
      </c>
      <c r="H718" t="s">
        <v>34</v>
      </c>
    </row>
    <row r="719" spans="1:8" x14ac:dyDescent="0.2">
      <c r="A719" t="s">
        <v>61</v>
      </c>
      <c r="B719">
        <v>172.85111434079479</v>
      </c>
      <c r="C719" t="s">
        <v>33</v>
      </c>
      <c r="D719" t="s">
        <v>27</v>
      </c>
      <c r="E719" t="s">
        <v>15</v>
      </c>
      <c r="F719" t="s">
        <v>28</v>
      </c>
      <c r="G719" t="s">
        <v>61</v>
      </c>
      <c r="H719" t="s">
        <v>62</v>
      </c>
    </row>
    <row r="720" spans="1:8" x14ac:dyDescent="0.2">
      <c r="A720" t="s">
        <v>283</v>
      </c>
      <c r="B720">
        <v>5.9608695652173918</v>
      </c>
      <c r="C720" t="s">
        <v>33</v>
      </c>
      <c r="D720" t="s">
        <v>27</v>
      </c>
      <c r="E720" t="s">
        <v>15</v>
      </c>
      <c r="F720" t="s">
        <v>28</v>
      </c>
      <c r="G720" t="s">
        <v>284</v>
      </c>
      <c r="H720" t="s">
        <v>34</v>
      </c>
    </row>
    <row r="721" spans="1:8" x14ac:dyDescent="0.2">
      <c r="A721" t="s">
        <v>285</v>
      </c>
      <c r="B721">
        <v>4.4706521739130434</v>
      </c>
      <c r="C721" t="s">
        <v>33</v>
      </c>
      <c r="D721" t="s">
        <v>27</v>
      </c>
      <c r="E721" t="s">
        <v>15</v>
      </c>
      <c r="F721" t="s">
        <v>28</v>
      </c>
      <c r="G721" t="s">
        <v>286</v>
      </c>
      <c r="H721" t="s">
        <v>34</v>
      </c>
    </row>
    <row r="722" spans="1:8" x14ac:dyDescent="0.2">
      <c r="A722" t="s">
        <v>278</v>
      </c>
      <c r="B722">
        <v>73.586537129440146</v>
      </c>
      <c r="C722" t="s">
        <v>33</v>
      </c>
      <c r="D722" t="s">
        <v>27</v>
      </c>
      <c r="E722" t="s">
        <v>15</v>
      </c>
      <c r="F722" t="s">
        <v>28</v>
      </c>
      <c r="G722" t="s">
        <v>279</v>
      </c>
      <c r="H722" t="s">
        <v>275</v>
      </c>
    </row>
    <row r="723" spans="1:8" x14ac:dyDescent="0.2">
      <c r="A723" t="s">
        <v>272</v>
      </c>
      <c r="B723">
        <v>1622.6839305462361</v>
      </c>
      <c r="C723" t="s">
        <v>33</v>
      </c>
      <c r="D723" t="s">
        <v>27</v>
      </c>
      <c r="E723" t="s">
        <v>15</v>
      </c>
      <c r="F723" t="s">
        <v>28</v>
      </c>
      <c r="G723" t="s">
        <v>273</v>
      </c>
      <c r="H723" t="s">
        <v>62</v>
      </c>
    </row>
    <row r="724" spans="1:8" x14ac:dyDescent="0.2">
      <c r="A724" t="s">
        <v>274</v>
      </c>
      <c r="B724">
        <v>297.63074989691842</v>
      </c>
      <c r="C724" t="s">
        <v>33</v>
      </c>
      <c r="D724" t="s">
        <v>27</v>
      </c>
      <c r="E724" t="s">
        <v>15</v>
      </c>
      <c r="F724" t="s">
        <v>28</v>
      </c>
      <c r="G724" t="s">
        <v>500</v>
      </c>
      <c r="H724" t="s">
        <v>275</v>
      </c>
    </row>
    <row r="725" spans="1:8" x14ac:dyDescent="0.2">
      <c r="A725" t="s">
        <v>287</v>
      </c>
      <c r="B725">
        <v>8.9413043478260867</v>
      </c>
      <c r="C725" t="s">
        <v>33</v>
      </c>
      <c r="D725" t="s">
        <v>27</v>
      </c>
      <c r="E725" t="s">
        <v>15</v>
      </c>
      <c r="F725" t="s">
        <v>28</v>
      </c>
      <c r="G725" t="s">
        <v>288</v>
      </c>
      <c r="H725" t="s">
        <v>34</v>
      </c>
    </row>
    <row r="726" spans="1:8" x14ac:dyDescent="0.2">
      <c r="A726" t="s">
        <v>289</v>
      </c>
      <c r="B726">
        <v>3.973913043478261</v>
      </c>
      <c r="C726" t="s">
        <v>33</v>
      </c>
      <c r="D726" t="s">
        <v>27</v>
      </c>
      <c r="E726" t="s">
        <v>15</v>
      </c>
      <c r="F726" t="s">
        <v>28</v>
      </c>
      <c r="G726" t="s">
        <v>290</v>
      </c>
      <c r="H726" t="s">
        <v>34</v>
      </c>
    </row>
    <row r="727" spans="1:8" x14ac:dyDescent="0.2">
      <c r="A727" t="s">
        <v>280</v>
      </c>
      <c r="B727">
        <v>-96.93327625987493</v>
      </c>
      <c r="C727" t="s">
        <v>33</v>
      </c>
      <c r="D727" t="s">
        <v>27</v>
      </c>
      <c r="E727" t="s">
        <v>15</v>
      </c>
      <c r="F727" t="s">
        <v>28</v>
      </c>
      <c r="G727" t="s">
        <v>281</v>
      </c>
      <c r="H727" t="s">
        <v>282</v>
      </c>
    </row>
    <row r="728" spans="1:8" x14ac:dyDescent="0.2">
      <c r="A728" t="s">
        <v>60</v>
      </c>
      <c r="B728">
        <v>48.583333333333329</v>
      </c>
      <c r="C728" t="s">
        <v>26</v>
      </c>
      <c r="D728" t="s">
        <v>27</v>
      </c>
      <c r="E728" t="s">
        <v>15</v>
      </c>
      <c r="F728" t="s">
        <v>28</v>
      </c>
      <c r="G728" t="s">
        <v>54</v>
      </c>
      <c r="H728" t="s">
        <v>34</v>
      </c>
    </row>
    <row r="729" spans="1:8" x14ac:dyDescent="0.2">
      <c r="A729" t="s">
        <v>276</v>
      </c>
      <c r="B729">
        <v>-1498.416149538775</v>
      </c>
      <c r="C729" t="s">
        <v>33</v>
      </c>
      <c r="D729" t="s">
        <v>27</v>
      </c>
      <c r="E729" t="s">
        <v>15</v>
      </c>
      <c r="F729" t="s">
        <v>28</v>
      </c>
      <c r="G729" t="s">
        <v>277</v>
      </c>
      <c r="H729" t="s">
        <v>25</v>
      </c>
    </row>
    <row r="730" spans="1:8" x14ac:dyDescent="0.2">
      <c r="A730" t="s">
        <v>501</v>
      </c>
      <c r="B730">
        <v>-297.63074989691842</v>
      </c>
      <c r="C730" t="s">
        <v>33</v>
      </c>
      <c r="D730" t="s">
        <v>27</v>
      </c>
      <c r="E730" t="s">
        <v>15</v>
      </c>
      <c r="F730" t="s">
        <v>28</v>
      </c>
      <c r="G730" t="s">
        <v>502</v>
      </c>
      <c r="H730" t="s">
        <v>25</v>
      </c>
    </row>
    <row r="731" spans="1:8" x14ac:dyDescent="0.2">
      <c r="A731" t="s">
        <v>56</v>
      </c>
      <c r="B731">
        <v>313.9945799597408</v>
      </c>
      <c r="C731" t="s">
        <v>63</v>
      </c>
      <c r="D731" t="s">
        <v>39</v>
      </c>
      <c r="E731" t="s">
        <v>15</v>
      </c>
      <c r="F731" t="s">
        <v>28</v>
      </c>
      <c r="G731" t="s">
        <v>58</v>
      </c>
      <c r="H731" t="s">
        <v>34</v>
      </c>
    </row>
    <row r="732" spans="1:8" x14ac:dyDescent="0.2">
      <c r="A732" t="s">
        <v>295</v>
      </c>
      <c r="B732">
        <v>1</v>
      </c>
      <c r="C732" t="s">
        <v>26</v>
      </c>
      <c r="D732" t="s">
        <v>10</v>
      </c>
      <c r="E732" t="s">
        <v>15</v>
      </c>
      <c r="F732" t="s">
        <v>24</v>
      </c>
      <c r="G732" t="s">
        <v>73</v>
      </c>
      <c r="H732" t="s">
        <v>25</v>
      </c>
    </row>
    <row r="735" spans="1:8" ht="16" x14ac:dyDescent="0.2">
      <c r="A735" s="1" t="s">
        <v>4</v>
      </c>
      <c r="B735" s="1" t="s">
        <v>352</v>
      </c>
    </row>
    <row r="736" spans="1:8" x14ac:dyDescent="0.2">
      <c r="A736" t="s">
        <v>5</v>
      </c>
      <c r="B736" t="s">
        <v>26</v>
      </c>
    </row>
    <row r="737" spans="1:8" x14ac:dyDescent="0.2">
      <c r="A737" t="s">
        <v>6</v>
      </c>
      <c r="B737">
        <v>1</v>
      </c>
    </row>
    <row r="738" spans="1:8" x14ac:dyDescent="0.2">
      <c r="A738" t="s">
        <v>7</v>
      </c>
      <c r="B738" t="s">
        <v>71</v>
      </c>
    </row>
    <row r="739" spans="1:8" x14ac:dyDescent="0.2">
      <c r="A739" t="s">
        <v>8</v>
      </c>
      <c r="B739" t="s">
        <v>9</v>
      </c>
    </row>
    <row r="740" spans="1:8" x14ac:dyDescent="0.2">
      <c r="A740" t="s">
        <v>10</v>
      </c>
      <c r="B740" t="s">
        <v>10</v>
      </c>
    </row>
    <row r="741" spans="1:8" x14ac:dyDescent="0.2">
      <c r="A741" t="s">
        <v>11</v>
      </c>
      <c r="B741" t="s">
        <v>12</v>
      </c>
    </row>
    <row r="742" spans="1:8" x14ac:dyDescent="0.2">
      <c r="A742" t="s">
        <v>13</v>
      </c>
      <c r="B742" t="s">
        <v>291</v>
      </c>
    </row>
    <row r="743" spans="1:8" x14ac:dyDescent="0.2">
      <c r="A743" t="s">
        <v>14</v>
      </c>
      <c r="B743" t="s">
        <v>271</v>
      </c>
    </row>
    <row r="744" spans="1:8" x14ac:dyDescent="0.2">
      <c r="A744" t="s">
        <v>16</v>
      </c>
      <c r="B744" t="s">
        <v>15</v>
      </c>
    </row>
    <row r="745" spans="1:8" x14ac:dyDescent="0.2">
      <c r="A745" t="s">
        <v>17</v>
      </c>
      <c r="B745" t="s">
        <v>86</v>
      </c>
    </row>
    <row r="746" spans="1:8" ht="16" x14ac:dyDescent="0.2">
      <c r="A746" s="1" t="s">
        <v>18</v>
      </c>
    </row>
    <row r="747" spans="1:8" x14ac:dyDescent="0.2">
      <c r="A747" t="s">
        <v>19</v>
      </c>
      <c r="B747" t="s">
        <v>20</v>
      </c>
      <c r="C747" t="s">
        <v>5</v>
      </c>
      <c r="D747" t="s">
        <v>10</v>
      </c>
      <c r="E747" t="s">
        <v>22</v>
      </c>
      <c r="F747" t="s">
        <v>8</v>
      </c>
      <c r="G747" t="s">
        <v>7</v>
      </c>
      <c r="H747" t="s">
        <v>23</v>
      </c>
    </row>
    <row r="748" spans="1:8" x14ac:dyDescent="0.2">
      <c r="A748" t="s">
        <v>610</v>
      </c>
      <c r="B748">
        <f>62</f>
        <v>62</v>
      </c>
      <c r="C748" t="s">
        <v>33</v>
      </c>
      <c r="D748" t="s">
        <v>39</v>
      </c>
      <c r="F748" t="s">
        <v>28</v>
      </c>
      <c r="G748" t="s">
        <v>611</v>
      </c>
      <c r="H748" t="s">
        <v>34</v>
      </c>
    </row>
    <row r="749" spans="1:8" x14ac:dyDescent="0.2">
      <c r="A749" t="s">
        <v>61</v>
      </c>
      <c r="B749">
        <v>166.00702561167091</v>
      </c>
      <c r="C749" t="s">
        <v>33</v>
      </c>
      <c r="D749" t="s">
        <v>27</v>
      </c>
      <c r="E749" t="s">
        <v>15</v>
      </c>
      <c r="F749" t="s">
        <v>28</v>
      </c>
      <c r="G749" t="s">
        <v>61</v>
      </c>
      <c r="H749" t="s">
        <v>62</v>
      </c>
    </row>
    <row r="750" spans="1:8" x14ac:dyDescent="0.2">
      <c r="A750" t="s">
        <v>283</v>
      </c>
      <c r="B750">
        <v>5.9804347826086959</v>
      </c>
      <c r="C750" t="s">
        <v>33</v>
      </c>
      <c r="D750" t="s">
        <v>27</v>
      </c>
      <c r="E750" t="s">
        <v>15</v>
      </c>
      <c r="F750" t="s">
        <v>28</v>
      </c>
      <c r="G750" t="s">
        <v>284</v>
      </c>
      <c r="H750" t="s">
        <v>34</v>
      </c>
    </row>
    <row r="751" spans="1:8" x14ac:dyDescent="0.2">
      <c r="A751" t="s">
        <v>285</v>
      </c>
      <c r="B751">
        <v>4.4853260869565217</v>
      </c>
      <c r="C751" t="s">
        <v>33</v>
      </c>
      <c r="D751" t="s">
        <v>27</v>
      </c>
      <c r="E751" t="s">
        <v>15</v>
      </c>
      <c r="F751" t="s">
        <v>28</v>
      </c>
      <c r="G751" t="s">
        <v>286</v>
      </c>
      <c r="H751" t="s">
        <v>34</v>
      </c>
    </row>
    <row r="752" spans="1:8" x14ac:dyDescent="0.2">
      <c r="A752" t="s">
        <v>278</v>
      </c>
      <c r="B752">
        <v>58.81623162085004</v>
      </c>
      <c r="C752" t="s">
        <v>33</v>
      </c>
      <c r="D752" t="s">
        <v>27</v>
      </c>
      <c r="E752" t="s">
        <v>15</v>
      </c>
      <c r="F752" t="s">
        <v>28</v>
      </c>
      <c r="G752" t="s">
        <v>279</v>
      </c>
      <c r="H752" t="s">
        <v>275</v>
      </c>
    </row>
    <row r="753" spans="1:8" x14ac:dyDescent="0.2">
      <c r="A753" t="s">
        <v>272</v>
      </c>
      <c r="B753">
        <v>1607.646984870918</v>
      </c>
      <c r="C753" t="s">
        <v>33</v>
      </c>
      <c r="D753" t="s">
        <v>27</v>
      </c>
      <c r="E753" t="s">
        <v>15</v>
      </c>
      <c r="F753" t="s">
        <v>28</v>
      </c>
      <c r="G753" t="s">
        <v>273</v>
      </c>
      <c r="H753" t="s">
        <v>62</v>
      </c>
    </row>
    <row r="754" spans="1:8" x14ac:dyDescent="0.2">
      <c r="A754" t="s">
        <v>274</v>
      </c>
      <c r="B754">
        <v>297.59529018011438</v>
      </c>
      <c r="C754" t="s">
        <v>33</v>
      </c>
      <c r="D754" t="s">
        <v>27</v>
      </c>
      <c r="E754" t="s">
        <v>15</v>
      </c>
      <c r="F754" t="s">
        <v>28</v>
      </c>
      <c r="G754" t="s">
        <v>500</v>
      </c>
      <c r="H754" t="s">
        <v>275</v>
      </c>
    </row>
    <row r="755" spans="1:8" x14ac:dyDescent="0.2">
      <c r="A755" t="s">
        <v>287</v>
      </c>
      <c r="B755">
        <v>8.9706521739130434</v>
      </c>
      <c r="C755" t="s">
        <v>33</v>
      </c>
      <c r="D755" t="s">
        <v>27</v>
      </c>
      <c r="E755" t="s">
        <v>15</v>
      </c>
      <c r="F755" t="s">
        <v>28</v>
      </c>
      <c r="G755" t="s">
        <v>288</v>
      </c>
      <c r="H755" t="s">
        <v>34</v>
      </c>
    </row>
    <row r="756" spans="1:8" x14ac:dyDescent="0.2">
      <c r="A756" t="s">
        <v>289</v>
      </c>
      <c r="B756">
        <v>3.9869565217391298</v>
      </c>
      <c r="C756" t="s">
        <v>33</v>
      </c>
      <c r="D756" t="s">
        <v>27</v>
      </c>
      <c r="E756" t="s">
        <v>15</v>
      </c>
      <c r="F756" t="s">
        <v>28</v>
      </c>
      <c r="G756" t="s">
        <v>290</v>
      </c>
      <c r="H756" t="s">
        <v>34</v>
      </c>
    </row>
    <row r="757" spans="1:8" x14ac:dyDescent="0.2">
      <c r="A757" t="s">
        <v>280</v>
      </c>
      <c r="B757">
        <v>-82.239601186067432</v>
      </c>
      <c r="C757" t="s">
        <v>33</v>
      </c>
      <c r="D757" t="s">
        <v>27</v>
      </c>
      <c r="E757" t="s">
        <v>15</v>
      </c>
      <c r="F757" t="s">
        <v>28</v>
      </c>
      <c r="G757" t="s">
        <v>281</v>
      </c>
      <c r="H757" t="s">
        <v>282</v>
      </c>
    </row>
    <row r="758" spans="1:8" x14ac:dyDescent="0.2">
      <c r="A758" t="s">
        <v>60</v>
      </c>
      <c r="B758">
        <v>43.691666666666663</v>
      </c>
      <c r="C758" t="s">
        <v>26</v>
      </c>
      <c r="D758" t="s">
        <v>27</v>
      </c>
      <c r="E758" t="s">
        <v>15</v>
      </c>
      <c r="F758" t="s">
        <v>28</v>
      </c>
      <c r="G758" t="s">
        <v>54</v>
      </c>
      <c r="H758" t="s">
        <v>34</v>
      </c>
    </row>
    <row r="759" spans="1:8" x14ac:dyDescent="0.2">
      <c r="A759" t="s">
        <v>276</v>
      </c>
      <c r="B759">
        <v>-1485.3316259259141</v>
      </c>
      <c r="C759" t="s">
        <v>33</v>
      </c>
      <c r="D759" t="s">
        <v>27</v>
      </c>
      <c r="E759" t="s">
        <v>15</v>
      </c>
      <c r="F759" t="s">
        <v>28</v>
      </c>
      <c r="G759" t="s">
        <v>277</v>
      </c>
      <c r="H759" t="s">
        <v>25</v>
      </c>
    </row>
    <row r="760" spans="1:8" x14ac:dyDescent="0.2">
      <c r="A760" t="s">
        <v>501</v>
      </c>
      <c r="B760">
        <v>-297.59529018011438</v>
      </c>
      <c r="C760" t="s">
        <v>33</v>
      </c>
      <c r="D760" t="s">
        <v>27</v>
      </c>
      <c r="E760" t="s">
        <v>15</v>
      </c>
      <c r="F760" t="s">
        <v>28</v>
      </c>
      <c r="G760" t="s">
        <v>502</v>
      </c>
      <c r="H760" t="s">
        <v>25</v>
      </c>
    </row>
    <row r="761" spans="1:8" x14ac:dyDescent="0.2">
      <c r="A761" t="s">
        <v>56</v>
      </c>
      <c r="B761">
        <v>373.55246196355012</v>
      </c>
      <c r="C761" t="s">
        <v>63</v>
      </c>
      <c r="D761" t="s">
        <v>39</v>
      </c>
      <c r="E761" t="s">
        <v>15</v>
      </c>
      <c r="F761" t="s">
        <v>28</v>
      </c>
      <c r="G761" t="s">
        <v>58</v>
      </c>
      <c r="H761" t="s">
        <v>34</v>
      </c>
    </row>
    <row r="762" spans="1:8" x14ac:dyDescent="0.2">
      <c r="A762" t="s">
        <v>352</v>
      </c>
      <c r="B762">
        <v>1</v>
      </c>
      <c r="C762" t="s">
        <v>26</v>
      </c>
      <c r="D762" t="s">
        <v>10</v>
      </c>
      <c r="E762" t="s">
        <v>15</v>
      </c>
      <c r="F762" t="s">
        <v>24</v>
      </c>
      <c r="G762" t="s">
        <v>71</v>
      </c>
      <c r="H762" t="s">
        <v>25</v>
      </c>
    </row>
    <row r="764" spans="1:8" ht="16" x14ac:dyDescent="0.2">
      <c r="A764" s="1" t="s">
        <v>4</v>
      </c>
      <c r="B764" s="1" t="s">
        <v>296</v>
      </c>
    </row>
    <row r="765" spans="1:8" x14ac:dyDescent="0.2">
      <c r="A765" t="s">
        <v>5</v>
      </c>
      <c r="B765" t="s">
        <v>26</v>
      </c>
    </row>
    <row r="766" spans="1:8" x14ac:dyDescent="0.2">
      <c r="A766" t="s">
        <v>6</v>
      </c>
      <c r="B766">
        <v>1</v>
      </c>
    </row>
    <row r="767" spans="1:8" x14ac:dyDescent="0.2">
      <c r="A767" t="s">
        <v>7</v>
      </c>
      <c r="B767" t="s">
        <v>73</v>
      </c>
    </row>
    <row r="768" spans="1:8" x14ac:dyDescent="0.2">
      <c r="A768" t="s">
        <v>8</v>
      </c>
      <c r="B768" t="s">
        <v>9</v>
      </c>
    </row>
    <row r="769" spans="1:8" x14ac:dyDescent="0.2">
      <c r="A769" t="s">
        <v>10</v>
      </c>
      <c r="B769" t="s">
        <v>10</v>
      </c>
    </row>
    <row r="770" spans="1:8" x14ac:dyDescent="0.2">
      <c r="A770" t="s">
        <v>11</v>
      </c>
      <c r="B770" t="s">
        <v>12</v>
      </c>
    </row>
    <row r="771" spans="1:8" x14ac:dyDescent="0.2">
      <c r="A771" t="s">
        <v>13</v>
      </c>
      <c r="B771" t="s">
        <v>291</v>
      </c>
    </row>
    <row r="772" spans="1:8" x14ac:dyDescent="0.2">
      <c r="A772" t="s">
        <v>14</v>
      </c>
      <c r="B772" t="s">
        <v>271</v>
      </c>
    </row>
    <row r="773" spans="1:8" x14ac:dyDescent="0.2">
      <c r="A773" t="s">
        <v>16</v>
      </c>
      <c r="B773" t="s">
        <v>15</v>
      </c>
    </row>
    <row r="774" spans="1:8" x14ac:dyDescent="0.2">
      <c r="A774" t="s">
        <v>17</v>
      </c>
      <c r="B774" t="s">
        <v>87</v>
      </c>
    </row>
    <row r="775" spans="1:8" ht="16" x14ac:dyDescent="0.2">
      <c r="A775" s="1" t="s">
        <v>18</v>
      </c>
    </row>
    <row r="776" spans="1:8" x14ac:dyDescent="0.2">
      <c r="A776" t="s">
        <v>19</v>
      </c>
      <c r="B776" t="s">
        <v>20</v>
      </c>
      <c r="C776" t="s">
        <v>5</v>
      </c>
      <c r="D776" t="s">
        <v>10</v>
      </c>
      <c r="E776" t="s">
        <v>22</v>
      </c>
      <c r="F776" t="s">
        <v>8</v>
      </c>
      <c r="G776" t="s">
        <v>7</v>
      </c>
      <c r="H776" t="s">
        <v>23</v>
      </c>
    </row>
    <row r="777" spans="1:8" x14ac:dyDescent="0.2">
      <c r="A777" t="s">
        <v>610</v>
      </c>
      <c r="B777">
        <f>78.5</f>
        <v>78.5</v>
      </c>
      <c r="C777" t="s">
        <v>33</v>
      </c>
      <c r="D777" t="s">
        <v>39</v>
      </c>
      <c r="F777" t="s">
        <v>28</v>
      </c>
      <c r="G777" t="s">
        <v>611</v>
      </c>
      <c r="H777" t="s">
        <v>34</v>
      </c>
    </row>
    <row r="778" spans="1:8" x14ac:dyDescent="0.2">
      <c r="A778" t="s">
        <v>61</v>
      </c>
      <c r="B778">
        <v>172.85111434079479</v>
      </c>
      <c r="C778" t="s">
        <v>33</v>
      </c>
      <c r="D778" t="s">
        <v>27</v>
      </c>
      <c r="E778" t="s">
        <v>15</v>
      </c>
      <c r="F778" t="s">
        <v>28</v>
      </c>
      <c r="G778" t="s">
        <v>61</v>
      </c>
      <c r="H778" t="s">
        <v>62</v>
      </c>
    </row>
    <row r="779" spans="1:8" x14ac:dyDescent="0.2">
      <c r="A779" t="s">
        <v>283</v>
      </c>
      <c r="B779">
        <v>5.9608695652173918</v>
      </c>
      <c r="C779" t="s">
        <v>33</v>
      </c>
      <c r="D779" t="s">
        <v>27</v>
      </c>
      <c r="E779" t="s">
        <v>15</v>
      </c>
      <c r="F779" t="s">
        <v>28</v>
      </c>
      <c r="G779" t="s">
        <v>284</v>
      </c>
      <c r="H779" t="s">
        <v>34</v>
      </c>
    </row>
    <row r="780" spans="1:8" x14ac:dyDescent="0.2">
      <c r="A780" t="s">
        <v>285</v>
      </c>
      <c r="B780">
        <v>4.4706521739130434</v>
      </c>
      <c r="C780" t="s">
        <v>33</v>
      </c>
      <c r="D780" t="s">
        <v>27</v>
      </c>
      <c r="E780" t="s">
        <v>15</v>
      </c>
      <c r="F780" t="s">
        <v>28</v>
      </c>
      <c r="G780" t="s">
        <v>286</v>
      </c>
      <c r="H780" t="s">
        <v>34</v>
      </c>
    </row>
    <row r="781" spans="1:8" x14ac:dyDescent="0.2">
      <c r="A781" t="s">
        <v>278</v>
      </c>
      <c r="B781">
        <v>73.586537129440146</v>
      </c>
      <c r="C781" t="s">
        <v>33</v>
      </c>
      <c r="D781" t="s">
        <v>27</v>
      </c>
      <c r="E781" t="s">
        <v>15</v>
      </c>
      <c r="F781" t="s">
        <v>28</v>
      </c>
      <c r="G781" t="s">
        <v>279</v>
      </c>
      <c r="H781" t="s">
        <v>275</v>
      </c>
    </row>
    <row r="782" spans="1:8" x14ac:dyDescent="0.2">
      <c r="A782" t="s">
        <v>272</v>
      </c>
      <c r="B782">
        <v>1622.6839305462361</v>
      </c>
      <c r="C782" t="s">
        <v>33</v>
      </c>
      <c r="D782" t="s">
        <v>27</v>
      </c>
      <c r="E782" t="s">
        <v>15</v>
      </c>
      <c r="F782" t="s">
        <v>28</v>
      </c>
      <c r="G782" t="s">
        <v>273</v>
      </c>
      <c r="H782" t="s">
        <v>62</v>
      </c>
    </row>
    <row r="783" spans="1:8" x14ac:dyDescent="0.2">
      <c r="A783" t="s">
        <v>274</v>
      </c>
      <c r="B783">
        <v>284.25355970807288</v>
      </c>
      <c r="C783" t="s">
        <v>33</v>
      </c>
      <c r="D783" t="s">
        <v>27</v>
      </c>
      <c r="E783" t="s">
        <v>15</v>
      </c>
      <c r="F783" t="s">
        <v>28</v>
      </c>
      <c r="G783" t="s">
        <v>500</v>
      </c>
      <c r="H783" t="s">
        <v>275</v>
      </c>
    </row>
    <row r="784" spans="1:8" x14ac:dyDescent="0.2">
      <c r="A784" t="s">
        <v>287</v>
      </c>
      <c r="B784">
        <v>8.9413043478260867</v>
      </c>
      <c r="C784" t="s">
        <v>33</v>
      </c>
      <c r="D784" t="s">
        <v>27</v>
      </c>
      <c r="E784" t="s">
        <v>15</v>
      </c>
      <c r="F784" t="s">
        <v>28</v>
      </c>
      <c r="G784" t="s">
        <v>288</v>
      </c>
      <c r="H784" t="s">
        <v>34</v>
      </c>
    </row>
    <row r="785" spans="1:8" x14ac:dyDescent="0.2">
      <c r="A785" t="s">
        <v>289</v>
      </c>
      <c r="B785">
        <v>3.973913043478261</v>
      </c>
      <c r="C785" t="s">
        <v>33</v>
      </c>
      <c r="D785" t="s">
        <v>27</v>
      </c>
      <c r="E785" t="s">
        <v>15</v>
      </c>
      <c r="F785" t="s">
        <v>28</v>
      </c>
      <c r="G785" t="s">
        <v>290</v>
      </c>
      <c r="H785" t="s">
        <v>34</v>
      </c>
    </row>
    <row r="786" spans="1:8" x14ac:dyDescent="0.2">
      <c r="A786" t="s">
        <v>280</v>
      </c>
      <c r="B786">
        <v>-96.93327625987493</v>
      </c>
      <c r="C786" t="s">
        <v>33</v>
      </c>
      <c r="D786" t="s">
        <v>27</v>
      </c>
      <c r="E786" t="s">
        <v>15</v>
      </c>
      <c r="F786" t="s">
        <v>28</v>
      </c>
      <c r="G786" t="s">
        <v>281</v>
      </c>
      <c r="H786" t="s">
        <v>282</v>
      </c>
    </row>
    <row r="787" spans="1:8" x14ac:dyDescent="0.2">
      <c r="A787" t="s">
        <v>60</v>
      </c>
      <c r="B787">
        <v>49.041666666666657</v>
      </c>
      <c r="C787" t="s">
        <v>26</v>
      </c>
      <c r="D787" t="s">
        <v>27</v>
      </c>
      <c r="E787" t="s">
        <v>15</v>
      </c>
      <c r="F787" t="s">
        <v>28</v>
      </c>
      <c r="G787" t="s">
        <v>54</v>
      </c>
      <c r="H787" t="s">
        <v>34</v>
      </c>
    </row>
    <row r="788" spans="1:8" x14ac:dyDescent="0.2">
      <c r="A788" t="s">
        <v>276</v>
      </c>
      <c r="B788">
        <v>-1498.874482872108</v>
      </c>
      <c r="C788" t="s">
        <v>33</v>
      </c>
      <c r="D788" t="s">
        <v>27</v>
      </c>
      <c r="E788" t="s">
        <v>15</v>
      </c>
      <c r="F788" t="s">
        <v>28</v>
      </c>
      <c r="G788" t="s">
        <v>277</v>
      </c>
      <c r="H788" t="s">
        <v>25</v>
      </c>
    </row>
    <row r="789" spans="1:8" x14ac:dyDescent="0.2">
      <c r="A789" t="s">
        <v>501</v>
      </c>
      <c r="B789">
        <v>-284.25355970807288</v>
      </c>
      <c r="C789" t="s">
        <v>33</v>
      </c>
      <c r="D789" t="s">
        <v>27</v>
      </c>
      <c r="E789" t="s">
        <v>15</v>
      </c>
      <c r="F789" t="s">
        <v>28</v>
      </c>
      <c r="G789" t="s">
        <v>502</v>
      </c>
      <c r="H789" t="s">
        <v>25</v>
      </c>
    </row>
    <row r="790" spans="1:8" x14ac:dyDescent="0.2">
      <c r="A790" t="s">
        <v>56</v>
      </c>
      <c r="B790">
        <v>313.9945799597408</v>
      </c>
      <c r="C790" t="s">
        <v>63</v>
      </c>
      <c r="D790" t="s">
        <v>39</v>
      </c>
      <c r="E790" t="s">
        <v>15</v>
      </c>
      <c r="F790" t="s">
        <v>28</v>
      </c>
      <c r="G790" t="s">
        <v>58</v>
      </c>
      <c r="H790" t="s">
        <v>34</v>
      </c>
    </row>
    <row r="791" spans="1:8" x14ac:dyDescent="0.2">
      <c r="A791" t="s">
        <v>296</v>
      </c>
      <c r="B791">
        <v>1</v>
      </c>
      <c r="C791" t="s">
        <v>26</v>
      </c>
      <c r="D791" t="s">
        <v>10</v>
      </c>
      <c r="E791" t="s">
        <v>15</v>
      </c>
      <c r="F791" t="s">
        <v>24</v>
      </c>
      <c r="G791" t="s">
        <v>73</v>
      </c>
      <c r="H791" t="s">
        <v>25</v>
      </c>
    </row>
    <row r="794" spans="1:8" ht="16" x14ac:dyDescent="0.2">
      <c r="A794" s="1" t="s">
        <v>4</v>
      </c>
      <c r="B794" s="1" t="s">
        <v>476</v>
      </c>
    </row>
    <row r="795" spans="1:8" x14ac:dyDescent="0.2">
      <c r="A795" t="s">
        <v>5</v>
      </c>
      <c r="B795" t="s">
        <v>26</v>
      </c>
    </row>
    <row r="796" spans="1:8" x14ac:dyDescent="0.2">
      <c r="A796" t="s">
        <v>6</v>
      </c>
      <c r="B796">
        <v>1</v>
      </c>
    </row>
    <row r="797" spans="1:8" x14ac:dyDescent="0.2">
      <c r="A797" t="s">
        <v>7</v>
      </c>
      <c r="B797" t="s">
        <v>88</v>
      </c>
    </row>
    <row r="798" spans="1:8" x14ac:dyDescent="0.2">
      <c r="A798" t="s">
        <v>8</v>
      </c>
      <c r="B798" t="s">
        <v>9</v>
      </c>
    </row>
    <row r="799" spans="1:8" x14ac:dyDescent="0.2">
      <c r="A799" t="s">
        <v>10</v>
      </c>
      <c r="B799" t="s">
        <v>10</v>
      </c>
    </row>
    <row r="800" spans="1:8" x14ac:dyDescent="0.2">
      <c r="A800" t="s">
        <v>11</v>
      </c>
      <c r="B800" t="s">
        <v>12</v>
      </c>
    </row>
    <row r="801" spans="1:8" x14ac:dyDescent="0.2">
      <c r="A801" t="s">
        <v>13</v>
      </c>
      <c r="B801" t="s">
        <v>291</v>
      </c>
    </row>
    <row r="802" spans="1:8" x14ac:dyDescent="0.2">
      <c r="A802" t="s">
        <v>14</v>
      </c>
      <c r="B802" t="s">
        <v>271</v>
      </c>
    </row>
    <row r="803" spans="1:8" x14ac:dyDescent="0.2">
      <c r="A803" t="s">
        <v>16</v>
      </c>
      <c r="B803" t="s">
        <v>15</v>
      </c>
    </row>
    <row r="804" spans="1:8" x14ac:dyDescent="0.2">
      <c r="A804" t="s">
        <v>17</v>
      </c>
      <c r="B804" t="s">
        <v>89</v>
      </c>
    </row>
    <row r="805" spans="1:8" ht="16" x14ac:dyDescent="0.2">
      <c r="A805" s="1" t="s">
        <v>18</v>
      </c>
    </row>
    <row r="806" spans="1:8" x14ac:dyDescent="0.2">
      <c r="A806" t="s">
        <v>19</v>
      </c>
      <c r="B806" t="s">
        <v>20</v>
      </c>
      <c r="C806" t="s">
        <v>5</v>
      </c>
      <c r="D806" t="s">
        <v>10</v>
      </c>
      <c r="E806" t="s">
        <v>22</v>
      </c>
      <c r="F806" t="s">
        <v>8</v>
      </c>
      <c r="G806" t="s">
        <v>7</v>
      </c>
      <c r="H806" t="s">
        <v>23</v>
      </c>
    </row>
    <row r="807" spans="1:8" x14ac:dyDescent="0.2">
      <c r="A807" t="s">
        <v>610</v>
      </c>
      <c r="B807">
        <f>32</f>
        <v>32</v>
      </c>
      <c r="C807" t="s">
        <v>33</v>
      </c>
      <c r="D807" t="s">
        <v>39</v>
      </c>
      <c r="F807" t="s">
        <v>28</v>
      </c>
      <c r="G807" t="s">
        <v>611</v>
      </c>
      <c r="H807" t="s">
        <v>34</v>
      </c>
    </row>
    <row r="808" spans="1:8" x14ac:dyDescent="0.2">
      <c r="A808" t="s">
        <v>484</v>
      </c>
      <c r="B808">
        <v>117.39130434782609</v>
      </c>
      <c r="C808" t="s">
        <v>26</v>
      </c>
      <c r="D808" t="s">
        <v>27</v>
      </c>
      <c r="E808" t="s">
        <v>15</v>
      </c>
      <c r="F808" t="s">
        <v>28</v>
      </c>
      <c r="G808" t="s">
        <v>485</v>
      </c>
      <c r="H808" t="s">
        <v>34</v>
      </c>
    </row>
    <row r="809" spans="1:8" x14ac:dyDescent="0.2">
      <c r="A809" t="s">
        <v>61</v>
      </c>
      <c r="B809">
        <v>165.10869565217391</v>
      </c>
      <c r="C809" t="s">
        <v>33</v>
      </c>
      <c r="D809" t="s">
        <v>27</v>
      </c>
      <c r="E809" t="s">
        <v>15</v>
      </c>
      <c r="F809" t="s">
        <v>28</v>
      </c>
      <c r="G809" t="s">
        <v>61</v>
      </c>
      <c r="H809" t="s">
        <v>62</v>
      </c>
    </row>
    <row r="810" spans="1:8" ht="16" x14ac:dyDescent="0.2">
      <c r="A810" s="2" t="s">
        <v>503</v>
      </c>
      <c r="B810">
        <v>30.5</v>
      </c>
      <c r="C810" t="s">
        <v>505</v>
      </c>
      <c r="D810" t="s">
        <v>10</v>
      </c>
      <c r="E810" t="s">
        <v>15</v>
      </c>
      <c r="F810" t="s">
        <v>28</v>
      </c>
      <c r="G810" t="s">
        <v>504</v>
      </c>
      <c r="H810" t="s">
        <v>34</v>
      </c>
    </row>
    <row r="811" spans="1:8" x14ac:dyDescent="0.2">
      <c r="A811" t="s">
        <v>285</v>
      </c>
      <c r="B811">
        <v>4.4706521739130434</v>
      </c>
      <c r="C811" t="s">
        <v>33</v>
      </c>
      <c r="D811" t="s">
        <v>27</v>
      </c>
      <c r="E811" t="s">
        <v>15</v>
      </c>
      <c r="F811" t="s">
        <v>28</v>
      </c>
      <c r="G811" t="s">
        <v>286</v>
      </c>
      <c r="H811" t="s">
        <v>34</v>
      </c>
    </row>
    <row r="812" spans="1:8" x14ac:dyDescent="0.2">
      <c r="A812" t="s">
        <v>278</v>
      </c>
      <c r="B812">
        <v>98.977346590382098</v>
      </c>
      <c r="C812" t="s">
        <v>33</v>
      </c>
      <c r="D812" t="s">
        <v>27</v>
      </c>
      <c r="E812" t="s">
        <v>15</v>
      </c>
      <c r="F812" t="s">
        <v>28</v>
      </c>
      <c r="G812" t="s">
        <v>279</v>
      </c>
      <c r="H812" t="s">
        <v>275</v>
      </c>
    </row>
    <row r="813" spans="1:8" x14ac:dyDescent="0.2">
      <c r="A813" t="s">
        <v>272</v>
      </c>
      <c r="B813">
        <v>1550</v>
      </c>
      <c r="C813" t="s">
        <v>33</v>
      </c>
      <c r="D813" t="s">
        <v>27</v>
      </c>
      <c r="E813" t="s">
        <v>15</v>
      </c>
      <c r="F813" t="s">
        <v>28</v>
      </c>
      <c r="G813" t="s">
        <v>273</v>
      </c>
      <c r="H813" t="s">
        <v>62</v>
      </c>
    </row>
    <row r="814" spans="1:8" x14ac:dyDescent="0.2">
      <c r="A814" t="s">
        <v>274</v>
      </c>
      <c r="B814">
        <v>97.01279657008709</v>
      </c>
      <c r="C814" t="s">
        <v>33</v>
      </c>
      <c r="D814" t="s">
        <v>27</v>
      </c>
      <c r="E814" t="s">
        <v>15</v>
      </c>
      <c r="F814" t="s">
        <v>28</v>
      </c>
      <c r="G814" t="s">
        <v>500</v>
      </c>
      <c r="H814" t="s">
        <v>275</v>
      </c>
    </row>
    <row r="815" spans="1:8" x14ac:dyDescent="0.2">
      <c r="A815" t="s">
        <v>287</v>
      </c>
      <c r="B815">
        <v>8.9413043478260867</v>
      </c>
      <c r="C815" t="s">
        <v>33</v>
      </c>
      <c r="D815" t="s">
        <v>27</v>
      </c>
      <c r="E815" t="s">
        <v>15</v>
      </c>
      <c r="F815" t="s">
        <v>28</v>
      </c>
      <c r="G815" t="s">
        <v>288</v>
      </c>
      <c r="H815" t="s">
        <v>34</v>
      </c>
    </row>
    <row r="816" spans="1:8" x14ac:dyDescent="0.2">
      <c r="A816" t="s">
        <v>289</v>
      </c>
      <c r="B816">
        <v>3.973913043478261</v>
      </c>
      <c r="C816" t="s">
        <v>33</v>
      </c>
      <c r="D816" t="s">
        <v>27</v>
      </c>
      <c r="E816" t="s">
        <v>15</v>
      </c>
      <c r="F816" t="s">
        <v>28</v>
      </c>
      <c r="G816" t="s">
        <v>290</v>
      </c>
      <c r="H816" t="s">
        <v>34</v>
      </c>
    </row>
    <row r="817" spans="1:8" x14ac:dyDescent="0.2">
      <c r="A817" t="s">
        <v>280</v>
      </c>
      <c r="B817">
        <v>-362.18354570414709</v>
      </c>
      <c r="C817" t="s">
        <v>33</v>
      </c>
      <c r="D817" t="s">
        <v>27</v>
      </c>
      <c r="E817" t="s">
        <v>15</v>
      </c>
      <c r="F817" t="s">
        <v>28</v>
      </c>
      <c r="G817" t="s">
        <v>281</v>
      </c>
      <c r="H817" t="s">
        <v>282</v>
      </c>
    </row>
    <row r="818" spans="1:8" x14ac:dyDescent="0.2">
      <c r="A818" t="s">
        <v>276</v>
      </c>
      <c r="B818">
        <v>-1502.282608695652</v>
      </c>
      <c r="C818" t="s">
        <v>33</v>
      </c>
      <c r="D818" t="s">
        <v>27</v>
      </c>
      <c r="E818" t="s">
        <v>15</v>
      </c>
      <c r="F818" t="s">
        <v>28</v>
      </c>
      <c r="G818" t="s">
        <v>277</v>
      </c>
      <c r="H818" t="s">
        <v>25</v>
      </c>
    </row>
    <row r="819" spans="1:8" x14ac:dyDescent="0.2">
      <c r="A819" t="s">
        <v>501</v>
      </c>
      <c r="B819">
        <v>-97.01279657008709</v>
      </c>
      <c r="C819" t="s">
        <v>33</v>
      </c>
      <c r="D819" t="s">
        <v>27</v>
      </c>
      <c r="E819" t="s">
        <v>15</v>
      </c>
      <c r="F819" t="s">
        <v>28</v>
      </c>
      <c r="G819" t="s">
        <v>502</v>
      </c>
      <c r="H819" t="s">
        <v>25</v>
      </c>
    </row>
    <row r="820" spans="1:8" x14ac:dyDescent="0.2">
      <c r="A820" t="s">
        <v>56</v>
      </c>
      <c r="B820">
        <v>128.58542469048061</v>
      </c>
      <c r="C820" t="s">
        <v>63</v>
      </c>
      <c r="D820" t="s">
        <v>39</v>
      </c>
      <c r="E820" t="s">
        <v>15</v>
      </c>
      <c r="F820" t="s">
        <v>28</v>
      </c>
      <c r="G820" t="s">
        <v>58</v>
      </c>
      <c r="H820" t="s">
        <v>34</v>
      </c>
    </row>
    <row r="821" spans="1:8" x14ac:dyDescent="0.2">
      <c r="A821" t="s">
        <v>476</v>
      </c>
      <c r="B821">
        <v>1</v>
      </c>
      <c r="C821" t="s">
        <v>26</v>
      </c>
      <c r="D821" t="s">
        <v>10</v>
      </c>
      <c r="E821" t="s">
        <v>15</v>
      </c>
      <c r="F821" t="s">
        <v>24</v>
      </c>
      <c r="G821" t="s">
        <v>88</v>
      </c>
      <c r="H821" t="s">
        <v>25</v>
      </c>
    </row>
    <row r="824" spans="1:8" ht="16" x14ac:dyDescent="0.2">
      <c r="A824" s="1" t="s">
        <v>4</v>
      </c>
      <c r="B824" s="1" t="s">
        <v>488</v>
      </c>
    </row>
    <row r="825" spans="1:8" x14ac:dyDescent="0.2">
      <c r="A825" t="s">
        <v>5</v>
      </c>
      <c r="B825" t="s">
        <v>26</v>
      </c>
    </row>
    <row r="826" spans="1:8" x14ac:dyDescent="0.2">
      <c r="A826" t="s">
        <v>6</v>
      </c>
      <c r="B826">
        <v>1</v>
      </c>
    </row>
    <row r="827" spans="1:8" x14ac:dyDescent="0.2">
      <c r="A827" t="s">
        <v>7</v>
      </c>
      <c r="B827" t="s">
        <v>88</v>
      </c>
    </row>
    <row r="828" spans="1:8" x14ac:dyDescent="0.2">
      <c r="A828" t="s">
        <v>8</v>
      </c>
      <c r="B828" t="s">
        <v>9</v>
      </c>
    </row>
    <row r="829" spans="1:8" x14ac:dyDescent="0.2">
      <c r="A829" t="s">
        <v>10</v>
      </c>
      <c r="B829" t="s">
        <v>10</v>
      </c>
    </row>
    <row r="830" spans="1:8" x14ac:dyDescent="0.2">
      <c r="A830" t="s">
        <v>11</v>
      </c>
      <c r="B830" t="s">
        <v>12</v>
      </c>
    </row>
    <row r="831" spans="1:8" x14ac:dyDescent="0.2">
      <c r="A831" t="s">
        <v>13</v>
      </c>
      <c r="B831" t="s">
        <v>291</v>
      </c>
    </row>
    <row r="832" spans="1:8" x14ac:dyDescent="0.2">
      <c r="A832" t="s">
        <v>14</v>
      </c>
      <c r="B832" t="s">
        <v>271</v>
      </c>
    </row>
    <row r="833" spans="1:8" x14ac:dyDescent="0.2">
      <c r="A833" t="s">
        <v>16</v>
      </c>
      <c r="B833" t="s">
        <v>15</v>
      </c>
    </row>
    <row r="834" spans="1:8" x14ac:dyDescent="0.2">
      <c r="A834" t="s">
        <v>17</v>
      </c>
      <c r="B834" t="s">
        <v>90</v>
      </c>
    </row>
    <row r="835" spans="1:8" ht="16" x14ac:dyDescent="0.2">
      <c r="A835" s="1" t="s">
        <v>18</v>
      </c>
    </row>
    <row r="836" spans="1:8" x14ac:dyDescent="0.2">
      <c r="A836" t="s">
        <v>19</v>
      </c>
      <c r="B836" t="s">
        <v>20</v>
      </c>
      <c r="C836" t="s">
        <v>5</v>
      </c>
      <c r="D836" t="s">
        <v>10</v>
      </c>
      <c r="E836" t="s">
        <v>22</v>
      </c>
      <c r="F836" t="s">
        <v>8</v>
      </c>
      <c r="G836" t="s">
        <v>7</v>
      </c>
      <c r="H836" t="s">
        <v>23</v>
      </c>
    </row>
    <row r="837" spans="1:8" x14ac:dyDescent="0.2">
      <c r="A837" t="s">
        <v>610</v>
      </c>
      <c r="B837">
        <v>69</v>
      </c>
      <c r="C837" t="s">
        <v>33</v>
      </c>
      <c r="D837" t="s">
        <v>39</v>
      </c>
      <c r="F837" t="s">
        <v>28</v>
      </c>
      <c r="G837" t="s">
        <v>611</v>
      </c>
      <c r="H837" t="s">
        <v>34</v>
      </c>
    </row>
    <row r="838" spans="1:8" x14ac:dyDescent="0.2">
      <c r="A838" t="s">
        <v>61</v>
      </c>
      <c r="B838">
        <v>434.00000000000011</v>
      </c>
      <c r="C838" t="s">
        <v>33</v>
      </c>
      <c r="D838" t="s">
        <v>27</v>
      </c>
      <c r="E838" t="s">
        <v>15</v>
      </c>
      <c r="F838" t="s">
        <v>28</v>
      </c>
      <c r="G838" t="s">
        <v>61</v>
      </c>
      <c r="H838" t="s">
        <v>62</v>
      </c>
    </row>
    <row r="839" spans="1:8" x14ac:dyDescent="0.2">
      <c r="A839" t="s">
        <v>283</v>
      </c>
      <c r="B839">
        <v>5.9608695652173918</v>
      </c>
      <c r="C839" t="s">
        <v>33</v>
      </c>
      <c r="D839" t="s">
        <v>27</v>
      </c>
      <c r="E839" t="s">
        <v>15</v>
      </c>
      <c r="F839" t="s">
        <v>28</v>
      </c>
      <c r="G839" t="s">
        <v>284</v>
      </c>
      <c r="H839" t="s">
        <v>34</v>
      </c>
    </row>
    <row r="840" spans="1:8" x14ac:dyDescent="0.2">
      <c r="A840" t="s">
        <v>285</v>
      </c>
      <c r="B840">
        <v>4.4706521739130434</v>
      </c>
      <c r="C840" t="s">
        <v>33</v>
      </c>
      <c r="D840" t="s">
        <v>27</v>
      </c>
      <c r="E840" t="s">
        <v>15</v>
      </c>
      <c r="F840" t="s">
        <v>28</v>
      </c>
      <c r="G840" t="s">
        <v>286</v>
      </c>
      <c r="H840" t="s">
        <v>34</v>
      </c>
    </row>
    <row r="841" spans="1:8" x14ac:dyDescent="0.2">
      <c r="A841" t="s">
        <v>278</v>
      </c>
      <c r="B841">
        <v>95.728319906374452</v>
      </c>
      <c r="C841" t="s">
        <v>33</v>
      </c>
      <c r="D841" t="s">
        <v>27</v>
      </c>
      <c r="E841" t="s">
        <v>15</v>
      </c>
      <c r="F841" t="s">
        <v>28</v>
      </c>
      <c r="G841" t="s">
        <v>279</v>
      </c>
      <c r="H841" t="s">
        <v>275</v>
      </c>
    </row>
    <row r="842" spans="1:8" x14ac:dyDescent="0.2">
      <c r="A842" t="s">
        <v>272</v>
      </c>
      <c r="B842">
        <v>1550</v>
      </c>
      <c r="C842" t="s">
        <v>33</v>
      </c>
      <c r="D842" t="s">
        <v>27</v>
      </c>
      <c r="E842" t="s">
        <v>15</v>
      </c>
      <c r="F842" t="s">
        <v>28</v>
      </c>
      <c r="G842" t="s">
        <v>273</v>
      </c>
      <c r="H842" t="s">
        <v>62</v>
      </c>
    </row>
    <row r="843" spans="1:8" x14ac:dyDescent="0.2">
      <c r="A843" t="s">
        <v>274</v>
      </c>
      <c r="B843">
        <v>94.455953831802816</v>
      </c>
      <c r="C843" t="s">
        <v>33</v>
      </c>
      <c r="D843" t="s">
        <v>27</v>
      </c>
      <c r="E843" t="s">
        <v>15</v>
      </c>
      <c r="F843" t="s">
        <v>28</v>
      </c>
      <c r="G843" t="s">
        <v>500</v>
      </c>
      <c r="H843" t="s">
        <v>275</v>
      </c>
    </row>
    <row r="844" spans="1:8" x14ac:dyDescent="0.2">
      <c r="A844" t="s">
        <v>287</v>
      </c>
      <c r="B844">
        <v>8.9413043478260867</v>
      </c>
      <c r="C844" t="s">
        <v>33</v>
      </c>
      <c r="D844" t="s">
        <v>27</v>
      </c>
      <c r="E844" t="s">
        <v>15</v>
      </c>
      <c r="F844" t="s">
        <v>28</v>
      </c>
      <c r="G844" t="s">
        <v>288</v>
      </c>
      <c r="H844" t="s">
        <v>34</v>
      </c>
    </row>
    <row r="845" spans="1:8" x14ac:dyDescent="0.2">
      <c r="A845" t="s">
        <v>289</v>
      </c>
      <c r="B845">
        <v>3.973913043478261</v>
      </c>
      <c r="C845" t="s">
        <v>33</v>
      </c>
      <c r="D845" t="s">
        <v>27</v>
      </c>
      <c r="E845" t="s">
        <v>15</v>
      </c>
      <c r="F845" t="s">
        <v>28</v>
      </c>
      <c r="G845" t="s">
        <v>290</v>
      </c>
      <c r="H845" t="s">
        <v>34</v>
      </c>
    </row>
    <row r="846" spans="1:8" x14ac:dyDescent="0.2">
      <c r="A846" t="s">
        <v>280</v>
      </c>
      <c r="B846">
        <v>-119.07505903680919</v>
      </c>
      <c r="C846" t="s">
        <v>33</v>
      </c>
      <c r="D846" t="s">
        <v>27</v>
      </c>
      <c r="E846" t="s">
        <v>15</v>
      </c>
      <c r="F846" t="s">
        <v>28</v>
      </c>
      <c r="G846" t="s">
        <v>281</v>
      </c>
      <c r="H846" t="s">
        <v>282</v>
      </c>
    </row>
    <row r="847" spans="1:8" x14ac:dyDescent="0.2">
      <c r="A847" t="s">
        <v>276</v>
      </c>
      <c r="B847">
        <v>-1116</v>
      </c>
      <c r="C847" t="s">
        <v>33</v>
      </c>
      <c r="D847" t="s">
        <v>27</v>
      </c>
      <c r="E847" t="s">
        <v>15</v>
      </c>
      <c r="F847" t="s">
        <v>28</v>
      </c>
      <c r="G847" t="s">
        <v>277</v>
      </c>
      <c r="H847" t="s">
        <v>25</v>
      </c>
    </row>
    <row r="848" spans="1:8" x14ac:dyDescent="0.2">
      <c r="A848" t="s">
        <v>501</v>
      </c>
      <c r="B848">
        <v>-94.455953831802816</v>
      </c>
      <c r="C848" t="s">
        <v>33</v>
      </c>
      <c r="D848" t="s">
        <v>27</v>
      </c>
      <c r="E848" t="s">
        <v>15</v>
      </c>
      <c r="F848" t="s">
        <v>28</v>
      </c>
      <c r="G848" t="s">
        <v>502</v>
      </c>
      <c r="H848" t="s">
        <v>25</v>
      </c>
    </row>
    <row r="849" spans="1:8" x14ac:dyDescent="0.2">
      <c r="A849" t="s">
        <v>56</v>
      </c>
      <c r="B849">
        <v>1392</v>
      </c>
      <c r="C849" t="s">
        <v>63</v>
      </c>
      <c r="D849" t="s">
        <v>39</v>
      </c>
      <c r="E849" t="s">
        <v>15</v>
      </c>
      <c r="F849" t="s">
        <v>28</v>
      </c>
      <c r="G849" t="s">
        <v>58</v>
      </c>
      <c r="H849" t="s">
        <v>34</v>
      </c>
    </row>
    <row r="850" spans="1:8" x14ac:dyDescent="0.2">
      <c r="A850" t="s">
        <v>488</v>
      </c>
      <c r="B850">
        <v>1</v>
      </c>
      <c r="C850" t="s">
        <v>26</v>
      </c>
      <c r="D850" t="s">
        <v>10</v>
      </c>
      <c r="E850" t="s">
        <v>15</v>
      </c>
      <c r="F850" t="s">
        <v>24</v>
      </c>
      <c r="G850" t="s">
        <v>88</v>
      </c>
      <c r="H850" t="s">
        <v>25</v>
      </c>
    </row>
    <row r="853" spans="1:8" ht="16" x14ac:dyDescent="0.2">
      <c r="A853" s="1" t="s">
        <v>4</v>
      </c>
      <c r="B853" s="1" t="s">
        <v>353</v>
      </c>
    </row>
    <row r="854" spans="1:8" x14ac:dyDescent="0.2">
      <c r="A854" t="s">
        <v>5</v>
      </c>
      <c r="B854" t="s">
        <v>26</v>
      </c>
    </row>
    <row r="855" spans="1:8" x14ac:dyDescent="0.2">
      <c r="A855" t="s">
        <v>6</v>
      </c>
      <c r="B855">
        <v>1</v>
      </c>
    </row>
    <row r="856" spans="1:8" x14ac:dyDescent="0.2">
      <c r="A856" t="s">
        <v>7</v>
      </c>
      <c r="B856" t="s">
        <v>71</v>
      </c>
    </row>
    <row r="857" spans="1:8" x14ac:dyDescent="0.2">
      <c r="A857" t="s">
        <v>8</v>
      </c>
      <c r="B857" t="s">
        <v>9</v>
      </c>
    </row>
    <row r="858" spans="1:8" x14ac:dyDescent="0.2">
      <c r="A858" t="s">
        <v>10</v>
      </c>
      <c r="B858" t="s">
        <v>10</v>
      </c>
    </row>
    <row r="859" spans="1:8" x14ac:dyDescent="0.2">
      <c r="A859" t="s">
        <v>11</v>
      </c>
      <c r="B859" t="s">
        <v>12</v>
      </c>
    </row>
    <row r="860" spans="1:8" x14ac:dyDescent="0.2">
      <c r="A860" t="s">
        <v>13</v>
      </c>
      <c r="B860" t="s">
        <v>291</v>
      </c>
    </row>
    <row r="861" spans="1:8" x14ac:dyDescent="0.2">
      <c r="A861" t="s">
        <v>14</v>
      </c>
      <c r="B861" t="s">
        <v>271</v>
      </c>
    </row>
    <row r="862" spans="1:8" x14ac:dyDescent="0.2">
      <c r="A862" t="s">
        <v>16</v>
      </c>
      <c r="B862" t="s">
        <v>15</v>
      </c>
    </row>
    <row r="863" spans="1:8" x14ac:dyDescent="0.2">
      <c r="A863" t="s">
        <v>17</v>
      </c>
      <c r="B863" t="s">
        <v>91</v>
      </c>
    </row>
    <row r="864" spans="1:8" ht="16" x14ac:dyDescent="0.2">
      <c r="A864" s="1" t="s">
        <v>18</v>
      </c>
    </row>
    <row r="865" spans="1:8" x14ac:dyDescent="0.2">
      <c r="A865" t="s">
        <v>19</v>
      </c>
      <c r="B865" t="s">
        <v>20</v>
      </c>
      <c r="C865" t="s">
        <v>5</v>
      </c>
      <c r="D865" t="s">
        <v>10</v>
      </c>
      <c r="E865" t="s">
        <v>22</v>
      </c>
      <c r="F865" t="s">
        <v>8</v>
      </c>
      <c r="G865" t="s">
        <v>7</v>
      </c>
      <c r="H865" t="s">
        <v>23</v>
      </c>
    </row>
    <row r="866" spans="1:8" x14ac:dyDescent="0.2">
      <c r="A866" t="s">
        <v>610</v>
      </c>
      <c r="B866">
        <f>17.8</f>
        <v>17.8</v>
      </c>
      <c r="C866" t="s">
        <v>33</v>
      </c>
      <c r="D866" t="s">
        <v>39</v>
      </c>
      <c r="F866" t="s">
        <v>28</v>
      </c>
      <c r="G866" t="s">
        <v>611</v>
      </c>
      <c r="H866" t="s">
        <v>34</v>
      </c>
    </row>
    <row r="867" spans="1:8" x14ac:dyDescent="0.2">
      <c r="A867" t="s">
        <v>61</v>
      </c>
      <c r="B867">
        <v>160.054347826087</v>
      </c>
      <c r="C867" t="s">
        <v>33</v>
      </c>
      <c r="D867" t="s">
        <v>27</v>
      </c>
      <c r="E867" t="s">
        <v>15</v>
      </c>
      <c r="F867" t="s">
        <v>28</v>
      </c>
      <c r="G867" t="s">
        <v>61</v>
      </c>
      <c r="H867" t="s">
        <v>62</v>
      </c>
    </row>
    <row r="868" spans="1:8" x14ac:dyDescent="0.2">
      <c r="A868" t="s">
        <v>278</v>
      </c>
      <c r="B868">
        <v>38.044937983744553</v>
      </c>
      <c r="C868" t="s">
        <v>33</v>
      </c>
      <c r="D868" t="s">
        <v>27</v>
      </c>
      <c r="E868" t="s">
        <v>15</v>
      </c>
      <c r="F868" t="s">
        <v>28</v>
      </c>
      <c r="G868" t="s">
        <v>279</v>
      </c>
      <c r="H868" t="s">
        <v>275</v>
      </c>
    </row>
    <row r="869" spans="1:8" x14ac:dyDescent="0.2">
      <c r="A869" t="s">
        <v>272</v>
      </c>
      <c r="B869">
        <v>1550</v>
      </c>
      <c r="C869" t="s">
        <v>33</v>
      </c>
      <c r="D869" t="s">
        <v>27</v>
      </c>
      <c r="E869" t="s">
        <v>15</v>
      </c>
      <c r="F869" t="s">
        <v>28</v>
      </c>
      <c r="G869" t="s">
        <v>273</v>
      </c>
      <c r="H869" t="s">
        <v>62</v>
      </c>
    </row>
    <row r="870" spans="1:8" x14ac:dyDescent="0.2">
      <c r="A870" t="s">
        <v>274</v>
      </c>
      <c r="B870">
        <v>271.1738763911909</v>
      </c>
      <c r="C870" t="s">
        <v>33</v>
      </c>
      <c r="D870" t="s">
        <v>27</v>
      </c>
      <c r="E870" t="s">
        <v>15</v>
      </c>
      <c r="F870" t="s">
        <v>28</v>
      </c>
      <c r="G870" t="s">
        <v>500</v>
      </c>
      <c r="H870" t="s">
        <v>275</v>
      </c>
    </row>
    <row r="871" spans="1:8" x14ac:dyDescent="0.2">
      <c r="A871" t="s">
        <v>287</v>
      </c>
      <c r="B871">
        <v>8.9706521739130434</v>
      </c>
      <c r="C871" t="s">
        <v>33</v>
      </c>
      <c r="D871" t="s">
        <v>27</v>
      </c>
      <c r="E871" t="s">
        <v>15</v>
      </c>
      <c r="F871" t="s">
        <v>28</v>
      </c>
      <c r="G871" t="s">
        <v>288</v>
      </c>
      <c r="H871" t="s">
        <v>34</v>
      </c>
    </row>
    <row r="872" spans="1:8" x14ac:dyDescent="0.2">
      <c r="A872" t="s">
        <v>289</v>
      </c>
      <c r="B872">
        <v>3.9869565217391298</v>
      </c>
      <c r="C872" t="s">
        <v>33</v>
      </c>
      <c r="D872" t="s">
        <v>27</v>
      </c>
      <c r="E872" t="s">
        <v>15</v>
      </c>
      <c r="F872" t="s">
        <v>28</v>
      </c>
      <c r="G872" t="s">
        <v>290</v>
      </c>
      <c r="H872" t="s">
        <v>34</v>
      </c>
    </row>
    <row r="873" spans="1:8" x14ac:dyDescent="0.2">
      <c r="A873" t="s">
        <v>280</v>
      </c>
      <c r="B873">
        <v>-51.002546679396723</v>
      </c>
      <c r="C873" t="s">
        <v>33</v>
      </c>
      <c r="D873" t="s">
        <v>27</v>
      </c>
      <c r="E873" t="s">
        <v>15</v>
      </c>
      <c r="F873" t="s">
        <v>28</v>
      </c>
      <c r="G873" t="s">
        <v>281</v>
      </c>
      <c r="H873" t="s">
        <v>282</v>
      </c>
    </row>
    <row r="874" spans="1:8" x14ac:dyDescent="0.2">
      <c r="A874" t="s">
        <v>60</v>
      </c>
      <c r="B874">
        <v>41.958333333333343</v>
      </c>
      <c r="C874" t="s">
        <v>26</v>
      </c>
      <c r="D874" t="s">
        <v>27</v>
      </c>
      <c r="E874" t="s">
        <v>15</v>
      </c>
      <c r="F874" t="s">
        <v>28</v>
      </c>
      <c r="G874" t="s">
        <v>54</v>
      </c>
      <c r="H874" t="s">
        <v>34</v>
      </c>
    </row>
    <row r="875" spans="1:8" x14ac:dyDescent="0.2">
      <c r="A875" t="s">
        <v>276</v>
      </c>
      <c r="B875">
        <v>-1431.903985507246</v>
      </c>
      <c r="C875" t="s">
        <v>33</v>
      </c>
      <c r="D875" t="s">
        <v>27</v>
      </c>
      <c r="E875" t="s">
        <v>15</v>
      </c>
      <c r="F875" t="s">
        <v>28</v>
      </c>
      <c r="G875" t="s">
        <v>277</v>
      </c>
      <c r="H875" t="s">
        <v>25</v>
      </c>
    </row>
    <row r="876" spans="1:8" x14ac:dyDescent="0.2">
      <c r="A876" t="s">
        <v>501</v>
      </c>
      <c r="B876">
        <v>-271.1738763911909</v>
      </c>
      <c r="C876" t="s">
        <v>33</v>
      </c>
      <c r="D876" t="s">
        <v>27</v>
      </c>
      <c r="E876" t="s">
        <v>15</v>
      </c>
      <c r="F876" t="s">
        <v>28</v>
      </c>
      <c r="G876" t="s">
        <v>502</v>
      </c>
      <c r="H876" t="s">
        <v>25</v>
      </c>
    </row>
    <row r="877" spans="1:8" x14ac:dyDescent="0.2">
      <c r="A877" t="s">
        <v>56</v>
      </c>
      <c r="B877">
        <v>106.745323863442</v>
      </c>
      <c r="C877" t="s">
        <v>63</v>
      </c>
      <c r="D877" t="s">
        <v>39</v>
      </c>
      <c r="E877" t="s">
        <v>15</v>
      </c>
      <c r="F877" t="s">
        <v>28</v>
      </c>
      <c r="G877" t="s">
        <v>58</v>
      </c>
      <c r="H877" t="s">
        <v>34</v>
      </c>
    </row>
    <row r="878" spans="1:8" x14ac:dyDescent="0.2">
      <c r="A878" t="s">
        <v>353</v>
      </c>
      <c r="B878">
        <v>1</v>
      </c>
      <c r="C878" t="s">
        <v>26</v>
      </c>
      <c r="D878" t="s">
        <v>10</v>
      </c>
      <c r="E878" t="s">
        <v>15</v>
      </c>
      <c r="F878" t="s">
        <v>24</v>
      </c>
      <c r="G878" t="s">
        <v>71</v>
      </c>
      <c r="H878" t="s">
        <v>25</v>
      </c>
    </row>
    <row r="880" spans="1:8" ht="16" x14ac:dyDescent="0.2">
      <c r="A880" s="1" t="s">
        <v>4</v>
      </c>
      <c r="B880" s="1" t="s">
        <v>297</v>
      </c>
    </row>
    <row r="881" spans="1:8" x14ac:dyDescent="0.2">
      <c r="A881" t="s">
        <v>5</v>
      </c>
      <c r="B881" t="s">
        <v>26</v>
      </c>
    </row>
    <row r="882" spans="1:8" x14ac:dyDescent="0.2">
      <c r="A882" t="s">
        <v>6</v>
      </c>
      <c r="B882">
        <v>1</v>
      </c>
    </row>
    <row r="883" spans="1:8" x14ac:dyDescent="0.2">
      <c r="A883" t="s">
        <v>7</v>
      </c>
      <c r="B883" t="s">
        <v>73</v>
      </c>
    </row>
    <row r="884" spans="1:8" x14ac:dyDescent="0.2">
      <c r="A884" t="s">
        <v>8</v>
      </c>
      <c r="B884" t="s">
        <v>9</v>
      </c>
    </row>
    <row r="885" spans="1:8" x14ac:dyDescent="0.2">
      <c r="A885" t="s">
        <v>10</v>
      </c>
      <c r="B885" t="s">
        <v>10</v>
      </c>
    </row>
    <row r="886" spans="1:8" x14ac:dyDescent="0.2">
      <c r="A886" t="s">
        <v>11</v>
      </c>
      <c r="B886" t="s">
        <v>12</v>
      </c>
    </row>
    <row r="887" spans="1:8" x14ac:dyDescent="0.2">
      <c r="A887" t="s">
        <v>13</v>
      </c>
      <c r="B887" t="s">
        <v>291</v>
      </c>
    </row>
    <row r="888" spans="1:8" x14ac:dyDescent="0.2">
      <c r="A888" t="s">
        <v>14</v>
      </c>
      <c r="B888" t="s">
        <v>271</v>
      </c>
    </row>
    <row r="889" spans="1:8" x14ac:dyDescent="0.2">
      <c r="A889" t="s">
        <v>16</v>
      </c>
      <c r="B889" t="s">
        <v>15</v>
      </c>
    </row>
    <row r="890" spans="1:8" x14ac:dyDescent="0.2">
      <c r="A890" t="s">
        <v>17</v>
      </c>
      <c r="B890" t="s">
        <v>92</v>
      </c>
    </row>
    <row r="891" spans="1:8" ht="16" x14ac:dyDescent="0.2">
      <c r="A891" s="1" t="s">
        <v>18</v>
      </c>
    </row>
    <row r="892" spans="1:8" x14ac:dyDescent="0.2">
      <c r="A892" t="s">
        <v>19</v>
      </c>
      <c r="B892" t="s">
        <v>20</v>
      </c>
      <c r="C892" t="s">
        <v>5</v>
      </c>
      <c r="D892" t="s">
        <v>10</v>
      </c>
      <c r="E892" t="s">
        <v>22</v>
      </c>
      <c r="F892" t="s">
        <v>8</v>
      </c>
      <c r="G892" t="s">
        <v>7</v>
      </c>
      <c r="H892" t="s">
        <v>23</v>
      </c>
    </row>
    <row r="893" spans="1:8" x14ac:dyDescent="0.2">
      <c r="A893" t="s">
        <v>610</v>
      </c>
      <c r="B893">
        <f>17.8</f>
        <v>17.8</v>
      </c>
      <c r="C893" t="s">
        <v>33</v>
      </c>
      <c r="D893" t="s">
        <v>39</v>
      </c>
      <c r="F893" t="s">
        <v>28</v>
      </c>
      <c r="G893" t="s">
        <v>611</v>
      </c>
      <c r="H893" t="s">
        <v>34</v>
      </c>
    </row>
    <row r="894" spans="1:8" x14ac:dyDescent="0.2">
      <c r="A894" t="s">
        <v>61</v>
      </c>
      <c r="B894">
        <v>165.10869565217391</v>
      </c>
      <c r="C894" t="s">
        <v>33</v>
      </c>
      <c r="D894" t="s">
        <v>27</v>
      </c>
      <c r="E894" t="s">
        <v>15</v>
      </c>
      <c r="F894" t="s">
        <v>28</v>
      </c>
      <c r="G894" t="s">
        <v>61</v>
      </c>
      <c r="H894" t="s">
        <v>62</v>
      </c>
    </row>
    <row r="895" spans="1:8" x14ac:dyDescent="0.2">
      <c r="A895" t="s">
        <v>278</v>
      </c>
      <c r="B895">
        <v>37.571761070858443</v>
      </c>
      <c r="C895" t="s">
        <v>33</v>
      </c>
      <c r="D895" t="s">
        <v>27</v>
      </c>
      <c r="E895" t="s">
        <v>15</v>
      </c>
      <c r="F895" t="s">
        <v>28</v>
      </c>
      <c r="G895" t="s">
        <v>279</v>
      </c>
      <c r="H895" t="s">
        <v>275</v>
      </c>
    </row>
    <row r="896" spans="1:8" x14ac:dyDescent="0.2">
      <c r="A896" t="s">
        <v>272</v>
      </c>
      <c r="B896">
        <v>1550</v>
      </c>
      <c r="C896" t="s">
        <v>33</v>
      </c>
      <c r="D896" t="s">
        <v>27</v>
      </c>
      <c r="E896" t="s">
        <v>15</v>
      </c>
      <c r="F896" t="s">
        <v>28</v>
      </c>
      <c r="G896" t="s">
        <v>273</v>
      </c>
      <c r="H896" t="s">
        <v>62</v>
      </c>
    </row>
    <row r="897" spans="1:8" x14ac:dyDescent="0.2">
      <c r="A897" t="s">
        <v>274</v>
      </c>
      <c r="B897">
        <v>268.1053946238959</v>
      </c>
      <c r="C897" t="s">
        <v>33</v>
      </c>
      <c r="D897" t="s">
        <v>27</v>
      </c>
      <c r="E897" t="s">
        <v>15</v>
      </c>
      <c r="F897" t="s">
        <v>28</v>
      </c>
      <c r="G897" t="s">
        <v>500</v>
      </c>
      <c r="H897" t="s">
        <v>275</v>
      </c>
    </row>
    <row r="898" spans="1:8" x14ac:dyDescent="0.2">
      <c r="A898" t="s">
        <v>287</v>
      </c>
      <c r="B898">
        <v>8.9413043478260867</v>
      </c>
      <c r="C898" t="s">
        <v>33</v>
      </c>
      <c r="D898" t="s">
        <v>27</v>
      </c>
      <c r="E898" t="s">
        <v>15</v>
      </c>
      <c r="F898" t="s">
        <v>28</v>
      </c>
      <c r="G898" t="s">
        <v>288</v>
      </c>
      <c r="H898" t="s">
        <v>34</v>
      </c>
    </row>
    <row r="899" spans="1:8" x14ac:dyDescent="0.2">
      <c r="A899" t="s">
        <v>289</v>
      </c>
      <c r="B899">
        <v>3.973913043478261</v>
      </c>
      <c r="C899" t="s">
        <v>33</v>
      </c>
      <c r="D899" t="s">
        <v>27</v>
      </c>
      <c r="E899" t="s">
        <v>15</v>
      </c>
      <c r="F899" t="s">
        <v>28</v>
      </c>
      <c r="G899" t="s">
        <v>290</v>
      </c>
      <c r="H899" t="s">
        <v>34</v>
      </c>
    </row>
    <row r="900" spans="1:8" x14ac:dyDescent="0.2">
      <c r="A900" t="s">
        <v>280</v>
      </c>
      <c r="B900">
        <v>-50.486978462162782</v>
      </c>
      <c r="C900" t="s">
        <v>33</v>
      </c>
      <c r="D900" t="s">
        <v>27</v>
      </c>
      <c r="E900" t="s">
        <v>15</v>
      </c>
      <c r="F900" t="s">
        <v>28</v>
      </c>
      <c r="G900" t="s">
        <v>281</v>
      </c>
      <c r="H900" t="s">
        <v>282</v>
      </c>
    </row>
    <row r="901" spans="1:8" x14ac:dyDescent="0.2">
      <c r="A901" t="s">
        <v>60</v>
      </c>
      <c r="B901">
        <v>39.75</v>
      </c>
      <c r="C901" t="s">
        <v>26</v>
      </c>
      <c r="D901" t="s">
        <v>27</v>
      </c>
      <c r="E901" t="s">
        <v>15</v>
      </c>
      <c r="F901" t="s">
        <v>28</v>
      </c>
      <c r="G901" t="s">
        <v>54</v>
      </c>
      <c r="H901" t="s">
        <v>34</v>
      </c>
    </row>
    <row r="902" spans="1:8" x14ac:dyDescent="0.2">
      <c r="A902" t="s">
        <v>276</v>
      </c>
      <c r="B902">
        <v>-1424.641304347826</v>
      </c>
      <c r="C902" t="s">
        <v>33</v>
      </c>
      <c r="D902" t="s">
        <v>27</v>
      </c>
      <c r="E902" t="s">
        <v>15</v>
      </c>
      <c r="F902" t="s">
        <v>28</v>
      </c>
      <c r="G902" t="s">
        <v>277</v>
      </c>
      <c r="H902" t="s">
        <v>25</v>
      </c>
    </row>
    <row r="903" spans="1:8" x14ac:dyDescent="0.2">
      <c r="A903" t="s">
        <v>501</v>
      </c>
      <c r="B903">
        <v>-268.1053946238959</v>
      </c>
      <c r="C903" t="s">
        <v>33</v>
      </c>
      <c r="D903" t="s">
        <v>27</v>
      </c>
      <c r="E903" t="s">
        <v>15</v>
      </c>
      <c r="F903" t="s">
        <v>28</v>
      </c>
      <c r="G903" t="s">
        <v>502</v>
      </c>
      <c r="H903" t="s">
        <v>25</v>
      </c>
    </row>
    <row r="904" spans="1:8" x14ac:dyDescent="0.2">
      <c r="A904" t="s">
        <v>56</v>
      </c>
      <c r="B904">
        <v>68.432735449754162</v>
      </c>
      <c r="C904" t="s">
        <v>63</v>
      </c>
      <c r="D904" t="s">
        <v>39</v>
      </c>
      <c r="E904" t="s">
        <v>15</v>
      </c>
      <c r="F904" t="s">
        <v>28</v>
      </c>
      <c r="G904" t="s">
        <v>58</v>
      </c>
      <c r="H904" t="s">
        <v>34</v>
      </c>
    </row>
    <row r="905" spans="1:8" x14ac:dyDescent="0.2">
      <c r="A905" t="s">
        <v>297</v>
      </c>
      <c r="B905">
        <v>1</v>
      </c>
      <c r="C905" t="s">
        <v>26</v>
      </c>
      <c r="D905" t="s">
        <v>10</v>
      </c>
      <c r="E905" t="s">
        <v>15</v>
      </c>
      <c r="F905" t="s">
        <v>24</v>
      </c>
      <c r="G905" t="s">
        <v>73</v>
      </c>
      <c r="H905" t="s">
        <v>25</v>
      </c>
    </row>
    <row r="908" spans="1:8" ht="16" x14ac:dyDescent="0.2">
      <c r="A908" s="1" t="s">
        <v>4</v>
      </c>
      <c r="B908" s="1" t="s">
        <v>354</v>
      </c>
    </row>
    <row r="909" spans="1:8" x14ac:dyDescent="0.2">
      <c r="A909" t="s">
        <v>5</v>
      </c>
      <c r="B909" t="s">
        <v>26</v>
      </c>
    </row>
    <row r="910" spans="1:8" x14ac:dyDescent="0.2">
      <c r="A910" t="s">
        <v>6</v>
      </c>
      <c r="B910">
        <v>1</v>
      </c>
    </row>
    <row r="911" spans="1:8" x14ac:dyDescent="0.2">
      <c r="A911" t="s">
        <v>7</v>
      </c>
      <c r="B911" t="s">
        <v>71</v>
      </c>
    </row>
    <row r="912" spans="1:8" x14ac:dyDescent="0.2">
      <c r="A912" t="s">
        <v>8</v>
      </c>
      <c r="B912" t="s">
        <v>9</v>
      </c>
    </row>
    <row r="913" spans="1:8" x14ac:dyDescent="0.2">
      <c r="A913" t="s">
        <v>10</v>
      </c>
      <c r="B913" t="s">
        <v>10</v>
      </c>
    </row>
    <row r="914" spans="1:8" x14ac:dyDescent="0.2">
      <c r="A914" t="s">
        <v>11</v>
      </c>
      <c r="B914" t="s">
        <v>12</v>
      </c>
    </row>
    <row r="915" spans="1:8" x14ac:dyDescent="0.2">
      <c r="A915" t="s">
        <v>13</v>
      </c>
      <c r="B915" t="s">
        <v>291</v>
      </c>
    </row>
    <row r="916" spans="1:8" x14ac:dyDescent="0.2">
      <c r="A916" t="s">
        <v>14</v>
      </c>
      <c r="B916" t="s">
        <v>271</v>
      </c>
    </row>
    <row r="917" spans="1:8" x14ac:dyDescent="0.2">
      <c r="A917" t="s">
        <v>16</v>
      </c>
      <c r="B917" t="s">
        <v>15</v>
      </c>
    </row>
    <row r="918" spans="1:8" x14ac:dyDescent="0.2">
      <c r="A918" t="s">
        <v>17</v>
      </c>
      <c r="B918" t="s">
        <v>93</v>
      </c>
    </row>
    <row r="919" spans="1:8" ht="16" x14ac:dyDescent="0.2">
      <c r="A919" s="1" t="s">
        <v>18</v>
      </c>
    </row>
    <row r="920" spans="1:8" x14ac:dyDescent="0.2">
      <c r="A920" t="s">
        <v>19</v>
      </c>
      <c r="B920" t="s">
        <v>20</v>
      </c>
      <c r="C920" t="s">
        <v>5</v>
      </c>
      <c r="D920" t="s">
        <v>10</v>
      </c>
      <c r="E920" t="s">
        <v>22</v>
      </c>
      <c r="F920" t="s">
        <v>8</v>
      </c>
      <c r="G920" t="s">
        <v>7</v>
      </c>
      <c r="H920" t="s">
        <v>23</v>
      </c>
    </row>
    <row r="921" spans="1:8" x14ac:dyDescent="0.2">
      <c r="A921" t="s">
        <v>610</v>
      </c>
      <c r="B921">
        <f>17.8</f>
        <v>17.8</v>
      </c>
      <c r="C921" t="s">
        <v>33</v>
      </c>
      <c r="D921" t="s">
        <v>39</v>
      </c>
      <c r="F921" t="s">
        <v>28</v>
      </c>
      <c r="G921" t="s">
        <v>611</v>
      </c>
      <c r="H921" t="s">
        <v>34</v>
      </c>
    </row>
    <row r="922" spans="1:8" x14ac:dyDescent="0.2">
      <c r="A922" t="s">
        <v>61</v>
      </c>
      <c r="B922">
        <v>160.054347826087</v>
      </c>
      <c r="C922" t="s">
        <v>33</v>
      </c>
      <c r="D922" t="s">
        <v>27</v>
      </c>
      <c r="E922" t="s">
        <v>15</v>
      </c>
      <c r="F922" t="s">
        <v>28</v>
      </c>
      <c r="G922" t="s">
        <v>61</v>
      </c>
      <c r="H922" t="s">
        <v>62</v>
      </c>
    </row>
    <row r="923" spans="1:8" x14ac:dyDescent="0.2">
      <c r="A923" t="s">
        <v>278</v>
      </c>
      <c r="B923">
        <v>38.049409451764923</v>
      </c>
      <c r="C923" t="s">
        <v>33</v>
      </c>
      <c r="D923" t="s">
        <v>27</v>
      </c>
      <c r="E923" t="s">
        <v>15</v>
      </c>
      <c r="F923" t="s">
        <v>28</v>
      </c>
      <c r="G923" t="s">
        <v>279</v>
      </c>
      <c r="H923" t="s">
        <v>275</v>
      </c>
    </row>
    <row r="924" spans="1:8" x14ac:dyDescent="0.2">
      <c r="A924" t="s">
        <v>272</v>
      </c>
      <c r="B924">
        <v>1550</v>
      </c>
      <c r="C924" t="s">
        <v>33</v>
      </c>
      <c r="D924" t="s">
        <v>27</v>
      </c>
      <c r="E924" t="s">
        <v>15</v>
      </c>
      <c r="F924" t="s">
        <v>28</v>
      </c>
      <c r="G924" t="s">
        <v>273</v>
      </c>
      <c r="H924" t="s">
        <v>62</v>
      </c>
    </row>
    <row r="925" spans="1:8" x14ac:dyDescent="0.2">
      <c r="A925" t="s">
        <v>274</v>
      </c>
      <c r="B925">
        <v>271.21212688393041</v>
      </c>
      <c r="C925" t="s">
        <v>33</v>
      </c>
      <c r="D925" t="s">
        <v>27</v>
      </c>
      <c r="E925" t="s">
        <v>15</v>
      </c>
      <c r="F925" t="s">
        <v>28</v>
      </c>
      <c r="G925" t="s">
        <v>500</v>
      </c>
      <c r="H925" t="s">
        <v>275</v>
      </c>
    </row>
    <row r="926" spans="1:8" x14ac:dyDescent="0.2">
      <c r="A926" t="s">
        <v>287</v>
      </c>
      <c r="B926">
        <v>8.9706521739130434</v>
      </c>
      <c r="C926" t="s">
        <v>33</v>
      </c>
      <c r="D926" t="s">
        <v>27</v>
      </c>
      <c r="E926" t="s">
        <v>15</v>
      </c>
      <c r="F926" t="s">
        <v>28</v>
      </c>
      <c r="G926" t="s">
        <v>288</v>
      </c>
      <c r="H926" t="s">
        <v>34</v>
      </c>
    </row>
    <row r="927" spans="1:8" x14ac:dyDescent="0.2">
      <c r="A927" t="s">
        <v>289</v>
      </c>
      <c r="B927">
        <v>3.9869565217391298</v>
      </c>
      <c r="C927" t="s">
        <v>33</v>
      </c>
      <c r="D927" t="s">
        <v>27</v>
      </c>
      <c r="E927" t="s">
        <v>15</v>
      </c>
      <c r="F927" t="s">
        <v>28</v>
      </c>
      <c r="G927" t="s">
        <v>290</v>
      </c>
      <c r="H927" t="s">
        <v>34</v>
      </c>
    </row>
    <row r="928" spans="1:8" x14ac:dyDescent="0.2">
      <c r="A928" t="s">
        <v>280</v>
      </c>
      <c r="B928">
        <v>-51.007018147417092</v>
      </c>
      <c r="C928" t="s">
        <v>33</v>
      </c>
      <c r="D928" t="s">
        <v>27</v>
      </c>
      <c r="E928" t="s">
        <v>15</v>
      </c>
      <c r="F928" t="s">
        <v>28</v>
      </c>
      <c r="G928" t="s">
        <v>281</v>
      </c>
      <c r="H928" t="s">
        <v>282</v>
      </c>
    </row>
    <row r="929" spans="1:8" x14ac:dyDescent="0.2">
      <c r="A929" t="s">
        <v>60</v>
      </c>
      <c r="B929">
        <v>42.354166666666657</v>
      </c>
      <c r="C929" t="s">
        <v>26</v>
      </c>
      <c r="D929" t="s">
        <v>27</v>
      </c>
      <c r="E929" t="s">
        <v>15</v>
      </c>
      <c r="F929" t="s">
        <v>28</v>
      </c>
      <c r="G929" t="s">
        <v>54</v>
      </c>
      <c r="H929" t="s">
        <v>34</v>
      </c>
    </row>
    <row r="930" spans="1:8" x14ac:dyDescent="0.2">
      <c r="A930" t="s">
        <v>276</v>
      </c>
      <c r="B930">
        <v>-1432.29981884058</v>
      </c>
      <c r="C930" t="s">
        <v>33</v>
      </c>
      <c r="D930" t="s">
        <v>27</v>
      </c>
      <c r="E930" t="s">
        <v>15</v>
      </c>
      <c r="F930" t="s">
        <v>28</v>
      </c>
      <c r="G930" t="s">
        <v>277</v>
      </c>
      <c r="H930" t="s">
        <v>25</v>
      </c>
    </row>
    <row r="931" spans="1:8" x14ac:dyDescent="0.2">
      <c r="A931" t="s">
        <v>501</v>
      </c>
      <c r="B931">
        <v>-271.21212688393041</v>
      </c>
      <c r="C931" t="s">
        <v>33</v>
      </c>
      <c r="D931" t="s">
        <v>27</v>
      </c>
      <c r="E931" t="s">
        <v>15</v>
      </c>
      <c r="F931" t="s">
        <v>28</v>
      </c>
      <c r="G931" t="s">
        <v>502</v>
      </c>
      <c r="H931" t="s">
        <v>25</v>
      </c>
    </row>
    <row r="932" spans="1:8" x14ac:dyDescent="0.2">
      <c r="A932" t="s">
        <v>56</v>
      </c>
      <c r="B932">
        <v>106.77130544604459</v>
      </c>
      <c r="C932" t="s">
        <v>63</v>
      </c>
      <c r="D932" t="s">
        <v>39</v>
      </c>
      <c r="E932" t="s">
        <v>15</v>
      </c>
      <c r="F932" t="s">
        <v>28</v>
      </c>
      <c r="G932" t="s">
        <v>58</v>
      </c>
      <c r="H932" t="s">
        <v>34</v>
      </c>
    </row>
    <row r="933" spans="1:8" x14ac:dyDescent="0.2">
      <c r="A933" t="s">
        <v>354</v>
      </c>
      <c r="B933">
        <v>1</v>
      </c>
      <c r="C933" t="s">
        <v>26</v>
      </c>
      <c r="D933" t="s">
        <v>10</v>
      </c>
      <c r="E933" t="s">
        <v>15</v>
      </c>
      <c r="F933" t="s">
        <v>24</v>
      </c>
      <c r="G933" t="s">
        <v>71</v>
      </c>
      <c r="H933" t="s">
        <v>25</v>
      </c>
    </row>
    <row r="935" spans="1:8" ht="16" x14ac:dyDescent="0.2">
      <c r="A935" s="1" t="s">
        <v>4</v>
      </c>
      <c r="B935" s="1" t="s">
        <v>298</v>
      </c>
    </row>
    <row r="936" spans="1:8" x14ac:dyDescent="0.2">
      <c r="A936" t="s">
        <v>5</v>
      </c>
      <c r="B936" t="s">
        <v>26</v>
      </c>
    </row>
    <row r="937" spans="1:8" x14ac:dyDescent="0.2">
      <c r="A937" t="s">
        <v>6</v>
      </c>
      <c r="B937">
        <v>1</v>
      </c>
    </row>
    <row r="938" spans="1:8" x14ac:dyDescent="0.2">
      <c r="A938" t="s">
        <v>7</v>
      </c>
      <c r="B938" t="s">
        <v>73</v>
      </c>
    </row>
    <row r="939" spans="1:8" x14ac:dyDescent="0.2">
      <c r="A939" t="s">
        <v>8</v>
      </c>
      <c r="B939" t="s">
        <v>9</v>
      </c>
    </row>
    <row r="940" spans="1:8" x14ac:dyDescent="0.2">
      <c r="A940" t="s">
        <v>10</v>
      </c>
      <c r="B940" t="s">
        <v>10</v>
      </c>
    </row>
    <row r="941" spans="1:8" x14ac:dyDescent="0.2">
      <c r="A941" t="s">
        <v>11</v>
      </c>
      <c r="B941" t="s">
        <v>12</v>
      </c>
    </row>
    <row r="942" spans="1:8" x14ac:dyDescent="0.2">
      <c r="A942" t="s">
        <v>13</v>
      </c>
      <c r="B942" t="s">
        <v>291</v>
      </c>
    </row>
    <row r="943" spans="1:8" x14ac:dyDescent="0.2">
      <c r="A943" t="s">
        <v>14</v>
      </c>
      <c r="B943" t="s">
        <v>271</v>
      </c>
    </row>
    <row r="944" spans="1:8" x14ac:dyDescent="0.2">
      <c r="A944" t="s">
        <v>16</v>
      </c>
      <c r="B944" t="s">
        <v>15</v>
      </c>
    </row>
    <row r="945" spans="1:8" x14ac:dyDescent="0.2">
      <c r="A945" t="s">
        <v>17</v>
      </c>
      <c r="B945" t="s">
        <v>94</v>
      </c>
    </row>
    <row r="946" spans="1:8" ht="16" x14ac:dyDescent="0.2">
      <c r="A946" s="1" t="s">
        <v>18</v>
      </c>
    </row>
    <row r="947" spans="1:8" x14ac:dyDescent="0.2">
      <c r="A947" t="s">
        <v>19</v>
      </c>
      <c r="B947" t="s">
        <v>20</v>
      </c>
      <c r="C947" t="s">
        <v>5</v>
      </c>
      <c r="D947" t="s">
        <v>10</v>
      </c>
      <c r="E947" t="s">
        <v>22</v>
      </c>
      <c r="F947" t="s">
        <v>8</v>
      </c>
      <c r="G947" t="s">
        <v>7</v>
      </c>
      <c r="H947" t="s">
        <v>23</v>
      </c>
    </row>
    <row r="948" spans="1:8" x14ac:dyDescent="0.2">
      <c r="A948" t="s">
        <v>610</v>
      </c>
      <c r="B948">
        <f>17.8</f>
        <v>17.8</v>
      </c>
      <c r="C948" t="s">
        <v>33</v>
      </c>
      <c r="D948" t="s">
        <v>39</v>
      </c>
      <c r="F948" t="s">
        <v>28</v>
      </c>
      <c r="G948" t="s">
        <v>611</v>
      </c>
      <c r="H948" t="s">
        <v>34</v>
      </c>
    </row>
    <row r="949" spans="1:8" x14ac:dyDescent="0.2">
      <c r="A949" t="s">
        <v>61</v>
      </c>
      <c r="B949">
        <v>165.10869565217391</v>
      </c>
      <c r="C949" t="s">
        <v>33</v>
      </c>
      <c r="D949" t="s">
        <v>27</v>
      </c>
      <c r="E949" t="s">
        <v>15</v>
      </c>
      <c r="F949" t="s">
        <v>28</v>
      </c>
      <c r="G949" t="s">
        <v>61</v>
      </c>
      <c r="H949" t="s">
        <v>62</v>
      </c>
    </row>
    <row r="950" spans="1:8" x14ac:dyDescent="0.2">
      <c r="A950" t="s">
        <v>278</v>
      </c>
      <c r="B950">
        <v>37.575992208294828</v>
      </c>
      <c r="C950" t="s">
        <v>33</v>
      </c>
      <c r="D950" t="s">
        <v>27</v>
      </c>
      <c r="E950" t="s">
        <v>15</v>
      </c>
      <c r="F950" t="s">
        <v>28</v>
      </c>
      <c r="G950" t="s">
        <v>279</v>
      </c>
      <c r="H950" t="s">
        <v>275</v>
      </c>
    </row>
    <row r="951" spans="1:8" x14ac:dyDescent="0.2">
      <c r="A951" t="s">
        <v>272</v>
      </c>
      <c r="B951">
        <v>1550</v>
      </c>
      <c r="C951" t="s">
        <v>33</v>
      </c>
      <c r="D951" t="s">
        <v>27</v>
      </c>
      <c r="E951" t="s">
        <v>15</v>
      </c>
      <c r="F951" t="s">
        <v>28</v>
      </c>
      <c r="G951" t="s">
        <v>273</v>
      </c>
      <c r="H951" t="s">
        <v>62</v>
      </c>
    </row>
    <row r="952" spans="1:8" x14ac:dyDescent="0.2">
      <c r="A952" t="s">
        <v>274</v>
      </c>
      <c r="B952">
        <v>268.14139608460471</v>
      </c>
      <c r="C952" t="s">
        <v>33</v>
      </c>
      <c r="D952" t="s">
        <v>27</v>
      </c>
      <c r="E952" t="s">
        <v>15</v>
      </c>
      <c r="F952" t="s">
        <v>28</v>
      </c>
      <c r="G952" t="s">
        <v>500</v>
      </c>
      <c r="H952" t="s">
        <v>275</v>
      </c>
    </row>
    <row r="953" spans="1:8" x14ac:dyDescent="0.2">
      <c r="A953" t="s">
        <v>287</v>
      </c>
      <c r="B953">
        <v>8.9413043478260867</v>
      </c>
      <c r="C953" t="s">
        <v>33</v>
      </c>
      <c r="D953" t="s">
        <v>27</v>
      </c>
      <c r="E953" t="s">
        <v>15</v>
      </c>
      <c r="F953" t="s">
        <v>28</v>
      </c>
      <c r="G953" t="s">
        <v>288</v>
      </c>
      <c r="H953" t="s">
        <v>34</v>
      </c>
    </row>
    <row r="954" spans="1:8" x14ac:dyDescent="0.2">
      <c r="A954" t="s">
        <v>289</v>
      </c>
      <c r="B954">
        <v>3.973913043478261</v>
      </c>
      <c r="C954" t="s">
        <v>33</v>
      </c>
      <c r="D954" t="s">
        <v>27</v>
      </c>
      <c r="E954" t="s">
        <v>15</v>
      </c>
      <c r="F954" t="s">
        <v>28</v>
      </c>
      <c r="G954" t="s">
        <v>290</v>
      </c>
      <c r="H954" t="s">
        <v>34</v>
      </c>
    </row>
    <row r="955" spans="1:8" x14ac:dyDescent="0.2">
      <c r="A955" t="s">
        <v>280</v>
      </c>
      <c r="B955">
        <v>-50.491209599599181</v>
      </c>
      <c r="C955" t="s">
        <v>33</v>
      </c>
      <c r="D955" t="s">
        <v>27</v>
      </c>
      <c r="E955" t="s">
        <v>15</v>
      </c>
      <c r="F955" t="s">
        <v>28</v>
      </c>
      <c r="G955" t="s">
        <v>281</v>
      </c>
      <c r="H955" t="s">
        <v>282</v>
      </c>
    </row>
    <row r="956" spans="1:8" x14ac:dyDescent="0.2">
      <c r="A956" t="s">
        <v>60</v>
      </c>
      <c r="B956">
        <v>40.124999999999993</v>
      </c>
      <c r="C956" t="s">
        <v>26</v>
      </c>
      <c r="D956" t="s">
        <v>27</v>
      </c>
      <c r="E956" t="s">
        <v>15</v>
      </c>
      <c r="F956" t="s">
        <v>28</v>
      </c>
      <c r="G956" t="s">
        <v>54</v>
      </c>
      <c r="H956" t="s">
        <v>34</v>
      </c>
    </row>
    <row r="957" spans="1:8" x14ac:dyDescent="0.2">
      <c r="A957" t="s">
        <v>276</v>
      </c>
      <c r="B957">
        <v>-1425.016304347826</v>
      </c>
      <c r="C957" t="s">
        <v>33</v>
      </c>
      <c r="D957" t="s">
        <v>27</v>
      </c>
      <c r="E957" t="s">
        <v>15</v>
      </c>
      <c r="F957" t="s">
        <v>28</v>
      </c>
      <c r="G957" t="s">
        <v>277</v>
      </c>
      <c r="H957" t="s">
        <v>25</v>
      </c>
    </row>
    <row r="958" spans="1:8" x14ac:dyDescent="0.2">
      <c r="A958" t="s">
        <v>501</v>
      </c>
      <c r="B958">
        <v>-268.14139608460471</v>
      </c>
      <c r="C958" t="s">
        <v>33</v>
      </c>
      <c r="D958" t="s">
        <v>27</v>
      </c>
      <c r="E958" t="s">
        <v>15</v>
      </c>
      <c r="F958" t="s">
        <v>28</v>
      </c>
      <c r="G958" t="s">
        <v>502</v>
      </c>
      <c r="H958" t="s">
        <v>25</v>
      </c>
    </row>
    <row r="959" spans="1:8" x14ac:dyDescent="0.2">
      <c r="A959" t="s">
        <v>56</v>
      </c>
      <c r="B959">
        <v>68.448623802576563</v>
      </c>
      <c r="C959" t="s">
        <v>63</v>
      </c>
      <c r="D959" t="s">
        <v>39</v>
      </c>
      <c r="E959" t="s">
        <v>15</v>
      </c>
      <c r="F959" t="s">
        <v>28</v>
      </c>
      <c r="G959" t="s">
        <v>58</v>
      </c>
      <c r="H959" t="s">
        <v>34</v>
      </c>
    </row>
    <row r="960" spans="1:8" x14ac:dyDescent="0.2">
      <c r="A960" t="s">
        <v>298</v>
      </c>
      <c r="B960">
        <v>1</v>
      </c>
      <c r="C960" t="s">
        <v>26</v>
      </c>
      <c r="D960" t="s">
        <v>10</v>
      </c>
      <c r="E960" t="s">
        <v>15</v>
      </c>
      <c r="F960" t="s">
        <v>24</v>
      </c>
      <c r="G960" t="s">
        <v>73</v>
      </c>
      <c r="H960" t="s">
        <v>25</v>
      </c>
    </row>
    <row r="963" spans="1:8" ht="16" x14ac:dyDescent="0.2">
      <c r="A963" s="1" t="s">
        <v>4</v>
      </c>
      <c r="B963" s="1" t="s">
        <v>455</v>
      </c>
    </row>
    <row r="964" spans="1:8" x14ac:dyDescent="0.2">
      <c r="A964" t="s">
        <v>5</v>
      </c>
      <c r="B964" t="s">
        <v>26</v>
      </c>
    </row>
    <row r="965" spans="1:8" x14ac:dyDescent="0.2">
      <c r="A965" t="s">
        <v>6</v>
      </c>
      <c r="B965">
        <v>1</v>
      </c>
    </row>
    <row r="966" spans="1:8" x14ac:dyDescent="0.2">
      <c r="A966" t="s">
        <v>7</v>
      </c>
      <c r="B966" t="s">
        <v>65</v>
      </c>
    </row>
    <row r="967" spans="1:8" x14ac:dyDescent="0.2">
      <c r="A967" t="s">
        <v>8</v>
      </c>
      <c r="B967" t="s">
        <v>9</v>
      </c>
    </row>
    <row r="968" spans="1:8" x14ac:dyDescent="0.2">
      <c r="A968" t="s">
        <v>10</v>
      </c>
      <c r="B968" t="s">
        <v>10</v>
      </c>
    </row>
    <row r="969" spans="1:8" x14ac:dyDescent="0.2">
      <c r="A969" t="s">
        <v>11</v>
      </c>
      <c r="B969" t="s">
        <v>12</v>
      </c>
    </row>
    <row r="970" spans="1:8" x14ac:dyDescent="0.2">
      <c r="A970" t="s">
        <v>13</v>
      </c>
      <c r="B970" t="s">
        <v>291</v>
      </c>
    </row>
    <row r="971" spans="1:8" x14ac:dyDescent="0.2">
      <c r="A971" t="s">
        <v>14</v>
      </c>
      <c r="B971" t="s">
        <v>271</v>
      </c>
    </row>
    <row r="972" spans="1:8" x14ac:dyDescent="0.2">
      <c r="A972" t="s">
        <v>16</v>
      </c>
      <c r="B972" t="s">
        <v>15</v>
      </c>
    </row>
    <row r="973" spans="1:8" x14ac:dyDescent="0.2">
      <c r="A973" t="s">
        <v>17</v>
      </c>
      <c r="B973" t="s">
        <v>95</v>
      </c>
    </row>
    <row r="974" spans="1:8" ht="16" x14ac:dyDescent="0.2">
      <c r="A974" s="1" t="s">
        <v>18</v>
      </c>
    </row>
    <row r="975" spans="1:8" x14ac:dyDescent="0.2">
      <c r="A975" t="s">
        <v>19</v>
      </c>
      <c r="B975" t="s">
        <v>20</v>
      </c>
      <c r="C975" t="s">
        <v>5</v>
      </c>
      <c r="D975" t="s">
        <v>10</v>
      </c>
      <c r="E975" t="s">
        <v>22</v>
      </c>
      <c r="F975" t="s">
        <v>8</v>
      </c>
      <c r="G975" t="s">
        <v>7</v>
      </c>
      <c r="H975" t="s">
        <v>23</v>
      </c>
    </row>
    <row r="976" spans="1:8" x14ac:dyDescent="0.2">
      <c r="A976" t="s">
        <v>61</v>
      </c>
      <c r="B976">
        <v>190</v>
      </c>
      <c r="C976" t="s">
        <v>33</v>
      </c>
      <c r="D976" t="s">
        <v>27</v>
      </c>
      <c r="E976" t="s">
        <v>15</v>
      </c>
      <c r="F976" t="s">
        <v>28</v>
      </c>
      <c r="G976" t="s">
        <v>61</v>
      </c>
      <c r="H976" t="s">
        <v>62</v>
      </c>
    </row>
    <row r="977" spans="1:8" x14ac:dyDescent="0.2">
      <c r="A977" t="s">
        <v>272</v>
      </c>
      <c r="B977">
        <v>1900</v>
      </c>
      <c r="C977" t="s">
        <v>33</v>
      </c>
      <c r="D977" t="s">
        <v>27</v>
      </c>
      <c r="E977" t="s">
        <v>15</v>
      </c>
      <c r="F977" t="s">
        <v>28</v>
      </c>
      <c r="G977" t="s">
        <v>273</v>
      </c>
      <c r="H977" t="s">
        <v>62</v>
      </c>
    </row>
    <row r="978" spans="1:8" x14ac:dyDescent="0.2">
      <c r="A978" t="s">
        <v>274</v>
      </c>
      <c r="B978">
        <v>317.42828786373138</v>
      </c>
      <c r="C978" t="s">
        <v>33</v>
      </c>
      <c r="D978" t="s">
        <v>27</v>
      </c>
      <c r="E978" t="s">
        <v>15</v>
      </c>
      <c r="F978" t="s">
        <v>28</v>
      </c>
      <c r="G978" t="s">
        <v>500</v>
      </c>
      <c r="H978" t="s">
        <v>275</v>
      </c>
    </row>
    <row r="979" spans="1:8" x14ac:dyDescent="0.2">
      <c r="A979" t="s">
        <v>60</v>
      </c>
      <c r="B979">
        <v>61.833333333333329</v>
      </c>
      <c r="C979" t="s">
        <v>26</v>
      </c>
      <c r="D979" t="s">
        <v>27</v>
      </c>
      <c r="E979" t="s">
        <v>15</v>
      </c>
      <c r="F979" t="s">
        <v>28</v>
      </c>
      <c r="G979" t="s">
        <v>54</v>
      </c>
      <c r="H979" t="s">
        <v>34</v>
      </c>
    </row>
    <row r="980" spans="1:8" x14ac:dyDescent="0.2">
      <c r="A980" t="s">
        <v>276</v>
      </c>
      <c r="B980">
        <v>-1771.833333333333</v>
      </c>
      <c r="C980" t="s">
        <v>33</v>
      </c>
      <c r="D980" t="s">
        <v>27</v>
      </c>
      <c r="E980" t="s">
        <v>15</v>
      </c>
      <c r="F980" t="s">
        <v>28</v>
      </c>
      <c r="G980" t="s">
        <v>277</v>
      </c>
      <c r="H980" t="s">
        <v>25</v>
      </c>
    </row>
    <row r="981" spans="1:8" x14ac:dyDescent="0.2">
      <c r="A981" t="s">
        <v>501</v>
      </c>
      <c r="B981">
        <v>-317.42828786373138</v>
      </c>
      <c r="C981" t="s">
        <v>33</v>
      </c>
      <c r="D981" t="s">
        <v>27</v>
      </c>
      <c r="E981" t="s">
        <v>15</v>
      </c>
      <c r="F981" t="s">
        <v>28</v>
      </c>
      <c r="G981" t="s">
        <v>502</v>
      </c>
      <c r="H981" t="s">
        <v>25</v>
      </c>
    </row>
    <row r="982" spans="1:8" x14ac:dyDescent="0.2">
      <c r="A982" t="s">
        <v>455</v>
      </c>
      <c r="B982">
        <v>1</v>
      </c>
      <c r="C982" t="s">
        <v>26</v>
      </c>
      <c r="D982" t="s">
        <v>10</v>
      </c>
      <c r="E982" t="s">
        <v>15</v>
      </c>
      <c r="F982" t="s">
        <v>24</v>
      </c>
      <c r="G982" t="s">
        <v>65</v>
      </c>
      <c r="H982" t="s">
        <v>25</v>
      </c>
    </row>
    <row r="984" spans="1:8" ht="16" x14ac:dyDescent="0.2">
      <c r="A984" s="1" t="s">
        <v>4</v>
      </c>
      <c r="B984" s="1" t="s">
        <v>431</v>
      </c>
    </row>
    <row r="985" spans="1:8" x14ac:dyDescent="0.2">
      <c r="A985" t="s">
        <v>5</v>
      </c>
      <c r="B985" t="s">
        <v>26</v>
      </c>
    </row>
    <row r="986" spans="1:8" x14ac:dyDescent="0.2">
      <c r="A986" t="s">
        <v>6</v>
      </c>
      <c r="B986">
        <v>1</v>
      </c>
    </row>
    <row r="987" spans="1:8" x14ac:dyDescent="0.2">
      <c r="A987" t="s">
        <v>7</v>
      </c>
      <c r="B987" t="s">
        <v>67</v>
      </c>
    </row>
    <row r="988" spans="1:8" x14ac:dyDescent="0.2">
      <c r="A988" t="s">
        <v>8</v>
      </c>
      <c r="B988" t="s">
        <v>9</v>
      </c>
    </row>
    <row r="989" spans="1:8" x14ac:dyDescent="0.2">
      <c r="A989" t="s">
        <v>10</v>
      </c>
      <c r="B989" t="s">
        <v>10</v>
      </c>
    </row>
    <row r="990" spans="1:8" x14ac:dyDescent="0.2">
      <c r="A990" t="s">
        <v>11</v>
      </c>
      <c r="B990" t="s">
        <v>12</v>
      </c>
    </row>
    <row r="991" spans="1:8" x14ac:dyDescent="0.2">
      <c r="A991" t="s">
        <v>13</v>
      </c>
      <c r="B991" t="s">
        <v>291</v>
      </c>
    </row>
    <row r="992" spans="1:8" x14ac:dyDescent="0.2">
      <c r="A992" t="s">
        <v>14</v>
      </c>
      <c r="B992" t="s">
        <v>271</v>
      </c>
    </row>
    <row r="993" spans="1:8" x14ac:dyDescent="0.2">
      <c r="A993" t="s">
        <v>16</v>
      </c>
      <c r="B993" t="s">
        <v>15</v>
      </c>
    </row>
    <row r="994" spans="1:8" x14ac:dyDescent="0.2">
      <c r="A994" t="s">
        <v>17</v>
      </c>
      <c r="B994" t="s">
        <v>96</v>
      </c>
    </row>
    <row r="995" spans="1:8" ht="16" x14ac:dyDescent="0.2">
      <c r="A995" s="1" t="s">
        <v>18</v>
      </c>
    </row>
    <row r="996" spans="1:8" x14ac:dyDescent="0.2">
      <c r="A996" t="s">
        <v>19</v>
      </c>
      <c r="B996" t="s">
        <v>20</v>
      </c>
      <c r="C996" t="s">
        <v>5</v>
      </c>
      <c r="D996" t="s">
        <v>10</v>
      </c>
      <c r="E996" t="s">
        <v>22</v>
      </c>
      <c r="F996" t="s">
        <v>8</v>
      </c>
      <c r="G996" t="s">
        <v>7</v>
      </c>
      <c r="H996" t="s">
        <v>23</v>
      </c>
    </row>
    <row r="997" spans="1:8" x14ac:dyDescent="0.2">
      <c r="A997" t="s">
        <v>61</v>
      </c>
      <c r="B997">
        <v>190</v>
      </c>
      <c r="C997" t="s">
        <v>33</v>
      </c>
      <c r="D997" t="s">
        <v>27</v>
      </c>
      <c r="E997" t="s">
        <v>15</v>
      </c>
      <c r="F997" t="s">
        <v>28</v>
      </c>
      <c r="G997" t="s">
        <v>61</v>
      </c>
      <c r="H997" t="s">
        <v>62</v>
      </c>
    </row>
    <row r="998" spans="1:8" x14ac:dyDescent="0.2">
      <c r="A998" t="s">
        <v>272</v>
      </c>
      <c r="B998">
        <v>1900</v>
      </c>
      <c r="C998" t="s">
        <v>33</v>
      </c>
      <c r="D998" t="s">
        <v>27</v>
      </c>
      <c r="E998" t="s">
        <v>15</v>
      </c>
      <c r="F998" t="s">
        <v>28</v>
      </c>
      <c r="G998" t="s">
        <v>273</v>
      </c>
      <c r="H998" t="s">
        <v>62</v>
      </c>
    </row>
    <row r="999" spans="1:8" x14ac:dyDescent="0.2">
      <c r="A999" t="s">
        <v>274</v>
      </c>
      <c r="B999">
        <v>315.96713952720171</v>
      </c>
      <c r="C999" t="s">
        <v>33</v>
      </c>
      <c r="D999" t="s">
        <v>27</v>
      </c>
      <c r="E999" t="s">
        <v>15</v>
      </c>
      <c r="F999" t="s">
        <v>28</v>
      </c>
      <c r="G999" t="s">
        <v>500</v>
      </c>
      <c r="H999" t="s">
        <v>275</v>
      </c>
    </row>
    <row r="1000" spans="1:8" x14ac:dyDescent="0.2">
      <c r="A1000" t="s">
        <v>60</v>
      </c>
      <c r="B1000">
        <v>55.208333333333329</v>
      </c>
      <c r="C1000" t="s">
        <v>26</v>
      </c>
      <c r="D1000" t="s">
        <v>27</v>
      </c>
      <c r="E1000" t="s">
        <v>15</v>
      </c>
      <c r="F1000" t="s">
        <v>28</v>
      </c>
      <c r="G1000" t="s">
        <v>54</v>
      </c>
      <c r="H1000" t="s">
        <v>34</v>
      </c>
    </row>
    <row r="1001" spans="1:8" x14ac:dyDescent="0.2">
      <c r="A1001" t="s">
        <v>276</v>
      </c>
      <c r="B1001">
        <v>-1765.208333333333</v>
      </c>
      <c r="C1001" t="s">
        <v>33</v>
      </c>
      <c r="D1001" t="s">
        <v>27</v>
      </c>
      <c r="E1001" t="s">
        <v>15</v>
      </c>
      <c r="F1001" t="s">
        <v>28</v>
      </c>
      <c r="G1001" t="s">
        <v>277</v>
      </c>
      <c r="H1001" t="s">
        <v>25</v>
      </c>
    </row>
    <row r="1002" spans="1:8" x14ac:dyDescent="0.2">
      <c r="A1002" t="s">
        <v>501</v>
      </c>
      <c r="B1002">
        <v>-315.96713952720171</v>
      </c>
      <c r="C1002" t="s">
        <v>33</v>
      </c>
      <c r="D1002" t="s">
        <v>27</v>
      </c>
      <c r="E1002" t="s">
        <v>15</v>
      </c>
      <c r="F1002" t="s">
        <v>28</v>
      </c>
      <c r="G1002" t="s">
        <v>502</v>
      </c>
      <c r="H1002" t="s">
        <v>25</v>
      </c>
    </row>
    <row r="1003" spans="1:8" x14ac:dyDescent="0.2">
      <c r="A1003" t="s">
        <v>431</v>
      </c>
      <c r="B1003">
        <v>1</v>
      </c>
      <c r="C1003" t="s">
        <v>26</v>
      </c>
      <c r="D1003" t="s">
        <v>10</v>
      </c>
      <c r="E1003" t="s">
        <v>15</v>
      </c>
      <c r="F1003" t="s">
        <v>24</v>
      </c>
      <c r="G1003" t="s">
        <v>67</v>
      </c>
      <c r="H1003" t="s">
        <v>25</v>
      </c>
    </row>
    <row r="1005" spans="1:8" ht="16" x14ac:dyDescent="0.2">
      <c r="A1005" s="1" t="s">
        <v>4</v>
      </c>
      <c r="B1005" s="1" t="s">
        <v>407</v>
      </c>
    </row>
    <row r="1006" spans="1:8" x14ac:dyDescent="0.2">
      <c r="A1006" t="s">
        <v>5</v>
      </c>
      <c r="B1006" t="s">
        <v>26</v>
      </c>
    </row>
    <row r="1007" spans="1:8" x14ac:dyDescent="0.2">
      <c r="A1007" t="s">
        <v>6</v>
      </c>
      <c r="B1007">
        <v>1</v>
      </c>
    </row>
    <row r="1008" spans="1:8" x14ac:dyDescent="0.2">
      <c r="A1008" t="s">
        <v>7</v>
      </c>
      <c r="B1008" t="s">
        <v>69</v>
      </c>
    </row>
    <row r="1009" spans="1:8" x14ac:dyDescent="0.2">
      <c r="A1009" t="s">
        <v>8</v>
      </c>
      <c r="B1009" t="s">
        <v>9</v>
      </c>
    </row>
    <row r="1010" spans="1:8" x14ac:dyDescent="0.2">
      <c r="A1010" t="s">
        <v>10</v>
      </c>
      <c r="B1010" t="s">
        <v>10</v>
      </c>
    </row>
    <row r="1011" spans="1:8" x14ac:dyDescent="0.2">
      <c r="A1011" t="s">
        <v>11</v>
      </c>
      <c r="B1011" t="s">
        <v>12</v>
      </c>
    </row>
    <row r="1012" spans="1:8" x14ac:dyDescent="0.2">
      <c r="A1012" t="s">
        <v>13</v>
      </c>
      <c r="B1012" t="s">
        <v>291</v>
      </c>
    </row>
    <row r="1013" spans="1:8" x14ac:dyDescent="0.2">
      <c r="A1013" t="s">
        <v>14</v>
      </c>
      <c r="B1013" t="s">
        <v>271</v>
      </c>
    </row>
    <row r="1014" spans="1:8" x14ac:dyDescent="0.2">
      <c r="A1014" t="s">
        <v>16</v>
      </c>
      <c r="B1014" t="s">
        <v>15</v>
      </c>
    </row>
    <row r="1015" spans="1:8" x14ac:dyDescent="0.2">
      <c r="A1015" t="s">
        <v>17</v>
      </c>
      <c r="B1015" t="s">
        <v>97</v>
      </c>
    </row>
    <row r="1016" spans="1:8" ht="16" x14ac:dyDescent="0.2">
      <c r="A1016" s="1" t="s">
        <v>18</v>
      </c>
    </row>
    <row r="1017" spans="1:8" x14ac:dyDescent="0.2">
      <c r="A1017" t="s">
        <v>19</v>
      </c>
      <c r="B1017" t="s">
        <v>20</v>
      </c>
      <c r="C1017" t="s">
        <v>5</v>
      </c>
      <c r="D1017" t="s">
        <v>10</v>
      </c>
      <c r="E1017" t="s">
        <v>22</v>
      </c>
      <c r="F1017" t="s">
        <v>8</v>
      </c>
      <c r="G1017" t="s">
        <v>7</v>
      </c>
      <c r="H1017" t="s">
        <v>23</v>
      </c>
    </row>
    <row r="1018" spans="1:8" x14ac:dyDescent="0.2">
      <c r="A1018" t="s">
        <v>61</v>
      </c>
      <c r="B1018">
        <v>190</v>
      </c>
      <c r="C1018" t="s">
        <v>33</v>
      </c>
      <c r="D1018" t="s">
        <v>27</v>
      </c>
      <c r="E1018" t="s">
        <v>15</v>
      </c>
      <c r="F1018" t="s">
        <v>28</v>
      </c>
      <c r="G1018" t="s">
        <v>61</v>
      </c>
      <c r="H1018" t="s">
        <v>62</v>
      </c>
    </row>
    <row r="1019" spans="1:8" x14ac:dyDescent="0.2">
      <c r="A1019" t="s">
        <v>272</v>
      </c>
      <c r="B1019">
        <v>1900</v>
      </c>
      <c r="C1019" t="s">
        <v>33</v>
      </c>
      <c r="D1019" t="s">
        <v>27</v>
      </c>
      <c r="E1019" t="s">
        <v>15</v>
      </c>
      <c r="F1019" t="s">
        <v>28</v>
      </c>
      <c r="G1019" t="s">
        <v>273</v>
      </c>
      <c r="H1019" t="s">
        <v>62</v>
      </c>
    </row>
    <row r="1020" spans="1:8" x14ac:dyDescent="0.2">
      <c r="A1020" t="s">
        <v>274</v>
      </c>
      <c r="B1020">
        <v>314.50599119067192</v>
      </c>
      <c r="C1020" t="s">
        <v>33</v>
      </c>
      <c r="D1020" t="s">
        <v>27</v>
      </c>
      <c r="E1020" t="s">
        <v>15</v>
      </c>
      <c r="F1020" t="s">
        <v>28</v>
      </c>
      <c r="G1020" t="s">
        <v>500</v>
      </c>
      <c r="H1020" t="s">
        <v>275</v>
      </c>
    </row>
    <row r="1021" spans="1:8" x14ac:dyDescent="0.2">
      <c r="A1021" t="s">
        <v>60</v>
      </c>
      <c r="B1021">
        <v>48.583333333333329</v>
      </c>
      <c r="C1021" t="s">
        <v>26</v>
      </c>
      <c r="D1021" t="s">
        <v>27</v>
      </c>
      <c r="E1021" t="s">
        <v>15</v>
      </c>
      <c r="F1021" t="s">
        <v>28</v>
      </c>
      <c r="G1021" t="s">
        <v>54</v>
      </c>
      <c r="H1021" t="s">
        <v>34</v>
      </c>
    </row>
    <row r="1022" spans="1:8" x14ac:dyDescent="0.2">
      <c r="A1022" t="s">
        <v>276</v>
      </c>
      <c r="B1022">
        <v>-1758.583333333333</v>
      </c>
      <c r="C1022" t="s">
        <v>33</v>
      </c>
      <c r="D1022" t="s">
        <v>27</v>
      </c>
      <c r="E1022" t="s">
        <v>15</v>
      </c>
      <c r="F1022" t="s">
        <v>28</v>
      </c>
      <c r="G1022" t="s">
        <v>277</v>
      </c>
      <c r="H1022" t="s">
        <v>25</v>
      </c>
    </row>
    <row r="1023" spans="1:8" x14ac:dyDescent="0.2">
      <c r="A1023" t="s">
        <v>501</v>
      </c>
      <c r="B1023">
        <v>-314.50599119067192</v>
      </c>
      <c r="C1023" t="s">
        <v>33</v>
      </c>
      <c r="D1023" t="s">
        <v>27</v>
      </c>
      <c r="E1023" t="s">
        <v>15</v>
      </c>
      <c r="F1023" t="s">
        <v>28</v>
      </c>
      <c r="G1023" t="s">
        <v>502</v>
      </c>
      <c r="H1023" t="s">
        <v>25</v>
      </c>
    </row>
    <row r="1024" spans="1:8" x14ac:dyDescent="0.2">
      <c r="A1024" t="s">
        <v>407</v>
      </c>
      <c r="B1024">
        <v>1</v>
      </c>
      <c r="C1024" t="s">
        <v>26</v>
      </c>
      <c r="D1024" t="s">
        <v>10</v>
      </c>
      <c r="E1024" t="s">
        <v>15</v>
      </c>
      <c r="F1024" t="s">
        <v>24</v>
      </c>
      <c r="G1024" t="s">
        <v>69</v>
      </c>
      <c r="H1024" t="s">
        <v>25</v>
      </c>
    </row>
    <row r="1026" spans="1:8" ht="16" x14ac:dyDescent="0.2">
      <c r="A1026" s="1" t="s">
        <v>4</v>
      </c>
      <c r="B1026" s="1" t="s">
        <v>355</v>
      </c>
    </row>
    <row r="1027" spans="1:8" x14ac:dyDescent="0.2">
      <c r="A1027" t="s">
        <v>5</v>
      </c>
      <c r="B1027" t="s">
        <v>26</v>
      </c>
    </row>
    <row r="1028" spans="1:8" x14ac:dyDescent="0.2">
      <c r="A1028" t="s">
        <v>6</v>
      </c>
      <c r="B1028">
        <v>1</v>
      </c>
    </row>
    <row r="1029" spans="1:8" x14ac:dyDescent="0.2">
      <c r="A1029" t="s">
        <v>7</v>
      </c>
      <c r="B1029" t="s">
        <v>71</v>
      </c>
    </row>
    <row r="1030" spans="1:8" x14ac:dyDescent="0.2">
      <c r="A1030" t="s">
        <v>8</v>
      </c>
      <c r="B1030" t="s">
        <v>9</v>
      </c>
    </row>
    <row r="1031" spans="1:8" x14ac:dyDescent="0.2">
      <c r="A1031" t="s">
        <v>10</v>
      </c>
      <c r="B1031" t="s">
        <v>10</v>
      </c>
    </row>
    <row r="1032" spans="1:8" x14ac:dyDescent="0.2">
      <c r="A1032" t="s">
        <v>11</v>
      </c>
      <c r="B1032" t="s">
        <v>12</v>
      </c>
    </row>
    <row r="1033" spans="1:8" x14ac:dyDescent="0.2">
      <c r="A1033" t="s">
        <v>13</v>
      </c>
      <c r="B1033" t="s">
        <v>291</v>
      </c>
    </row>
    <row r="1034" spans="1:8" x14ac:dyDescent="0.2">
      <c r="A1034" t="s">
        <v>14</v>
      </c>
      <c r="B1034" t="s">
        <v>271</v>
      </c>
    </row>
    <row r="1035" spans="1:8" x14ac:dyDescent="0.2">
      <c r="A1035" t="s">
        <v>16</v>
      </c>
      <c r="B1035" t="s">
        <v>15</v>
      </c>
    </row>
    <row r="1036" spans="1:8" x14ac:dyDescent="0.2">
      <c r="A1036" t="s">
        <v>17</v>
      </c>
      <c r="B1036" t="s">
        <v>98</v>
      </c>
    </row>
    <row r="1037" spans="1:8" ht="16" x14ac:dyDescent="0.2">
      <c r="A1037" s="1" t="s">
        <v>18</v>
      </c>
    </row>
    <row r="1038" spans="1:8" x14ac:dyDescent="0.2">
      <c r="A1038" t="s">
        <v>19</v>
      </c>
      <c r="B1038" t="s">
        <v>20</v>
      </c>
      <c r="C1038" t="s">
        <v>5</v>
      </c>
      <c r="D1038" t="s">
        <v>10</v>
      </c>
      <c r="E1038" t="s">
        <v>22</v>
      </c>
      <c r="F1038" t="s">
        <v>8</v>
      </c>
      <c r="G1038" t="s">
        <v>7</v>
      </c>
      <c r="H1038" t="s">
        <v>23</v>
      </c>
    </row>
    <row r="1039" spans="1:8" x14ac:dyDescent="0.2">
      <c r="A1039" t="s">
        <v>61</v>
      </c>
      <c r="B1039">
        <v>196.19565217391309</v>
      </c>
      <c r="C1039" t="s">
        <v>33</v>
      </c>
      <c r="D1039" t="s">
        <v>27</v>
      </c>
      <c r="E1039" t="s">
        <v>15</v>
      </c>
      <c r="F1039" t="s">
        <v>28</v>
      </c>
      <c r="G1039" t="s">
        <v>61</v>
      </c>
      <c r="H1039" t="s">
        <v>62</v>
      </c>
    </row>
    <row r="1040" spans="1:8" x14ac:dyDescent="0.2">
      <c r="A1040" t="s">
        <v>272</v>
      </c>
      <c r="B1040">
        <v>1900</v>
      </c>
      <c r="C1040" t="s">
        <v>33</v>
      </c>
      <c r="D1040" t="s">
        <v>27</v>
      </c>
      <c r="E1040" t="s">
        <v>15</v>
      </c>
      <c r="F1040" t="s">
        <v>28</v>
      </c>
      <c r="G1040" t="s">
        <v>273</v>
      </c>
      <c r="H1040" t="s">
        <v>62</v>
      </c>
    </row>
    <row r="1041" spans="1:8" x14ac:dyDescent="0.2">
      <c r="A1041" t="s">
        <v>274</v>
      </c>
      <c r="B1041">
        <v>311.66619630494091</v>
      </c>
      <c r="C1041" t="s">
        <v>33</v>
      </c>
      <c r="D1041" t="s">
        <v>27</v>
      </c>
      <c r="E1041" t="s">
        <v>15</v>
      </c>
      <c r="F1041" t="s">
        <v>28</v>
      </c>
      <c r="G1041" t="s">
        <v>500</v>
      </c>
      <c r="H1041" t="s">
        <v>275</v>
      </c>
    </row>
    <row r="1042" spans="1:8" x14ac:dyDescent="0.2">
      <c r="A1042" t="s">
        <v>60</v>
      </c>
      <c r="B1042">
        <v>48.693749999999987</v>
      </c>
      <c r="C1042" t="s">
        <v>26</v>
      </c>
      <c r="D1042" t="s">
        <v>27</v>
      </c>
      <c r="E1042" t="s">
        <v>15</v>
      </c>
      <c r="F1042" t="s">
        <v>28</v>
      </c>
      <c r="G1042" t="s">
        <v>54</v>
      </c>
      <c r="H1042" t="s">
        <v>34</v>
      </c>
    </row>
    <row r="1043" spans="1:8" x14ac:dyDescent="0.2">
      <c r="A1043" t="s">
        <v>276</v>
      </c>
      <c r="B1043">
        <v>-1752.4980978260869</v>
      </c>
      <c r="C1043" t="s">
        <v>33</v>
      </c>
      <c r="D1043" t="s">
        <v>27</v>
      </c>
      <c r="E1043" t="s">
        <v>15</v>
      </c>
      <c r="F1043" t="s">
        <v>28</v>
      </c>
      <c r="G1043" t="s">
        <v>277</v>
      </c>
      <c r="H1043" t="s">
        <v>25</v>
      </c>
    </row>
    <row r="1044" spans="1:8" x14ac:dyDescent="0.2">
      <c r="A1044" t="s">
        <v>501</v>
      </c>
      <c r="B1044">
        <v>-311.66619630494091</v>
      </c>
      <c r="C1044" t="s">
        <v>33</v>
      </c>
      <c r="D1044" t="s">
        <v>27</v>
      </c>
      <c r="E1044" t="s">
        <v>15</v>
      </c>
      <c r="F1044" t="s">
        <v>28</v>
      </c>
      <c r="G1044" t="s">
        <v>502</v>
      </c>
      <c r="H1044" t="s">
        <v>25</v>
      </c>
    </row>
    <row r="1045" spans="1:8" x14ac:dyDescent="0.2">
      <c r="A1045" t="s">
        <v>355</v>
      </c>
      <c r="B1045">
        <v>1</v>
      </c>
      <c r="C1045" t="s">
        <v>26</v>
      </c>
      <c r="D1045" t="s">
        <v>10</v>
      </c>
      <c r="E1045" t="s">
        <v>15</v>
      </c>
      <c r="F1045" t="s">
        <v>24</v>
      </c>
      <c r="G1045" t="s">
        <v>71</v>
      </c>
      <c r="H1045" t="s">
        <v>25</v>
      </c>
    </row>
    <row r="1047" spans="1:8" ht="16" x14ac:dyDescent="0.2">
      <c r="A1047" s="1" t="s">
        <v>4</v>
      </c>
      <c r="B1047" s="1" t="s">
        <v>299</v>
      </c>
    </row>
    <row r="1048" spans="1:8" x14ac:dyDescent="0.2">
      <c r="A1048" t="s">
        <v>5</v>
      </c>
      <c r="B1048" t="s">
        <v>26</v>
      </c>
    </row>
    <row r="1049" spans="1:8" x14ac:dyDescent="0.2">
      <c r="A1049" t="s">
        <v>6</v>
      </c>
      <c r="B1049">
        <v>1</v>
      </c>
    </row>
    <row r="1050" spans="1:8" x14ac:dyDescent="0.2">
      <c r="A1050" t="s">
        <v>7</v>
      </c>
      <c r="B1050" t="s">
        <v>73</v>
      </c>
    </row>
    <row r="1051" spans="1:8" x14ac:dyDescent="0.2">
      <c r="A1051" t="s">
        <v>8</v>
      </c>
      <c r="B1051" t="s">
        <v>9</v>
      </c>
    </row>
    <row r="1052" spans="1:8" x14ac:dyDescent="0.2">
      <c r="A1052" t="s">
        <v>10</v>
      </c>
      <c r="B1052" t="s">
        <v>10</v>
      </c>
    </row>
    <row r="1053" spans="1:8" x14ac:dyDescent="0.2">
      <c r="A1053" t="s">
        <v>11</v>
      </c>
      <c r="B1053" t="s">
        <v>12</v>
      </c>
    </row>
    <row r="1054" spans="1:8" x14ac:dyDescent="0.2">
      <c r="A1054" t="s">
        <v>13</v>
      </c>
      <c r="B1054" t="s">
        <v>291</v>
      </c>
    </row>
    <row r="1055" spans="1:8" x14ac:dyDescent="0.2">
      <c r="A1055" t="s">
        <v>14</v>
      </c>
      <c r="B1055" t="s">
        <v>271</v>
      </c>
    </row>
    <row r="1056" spans="1:8" x14ac:dyDescent="0.2">
      <c r="A1056" t="s">
        <v>16</v>
      </c>
      <c r="B1056" t="s">
        <v>15</v>
      </c>
    </row>
    <row r="1057" spans="1:8" x14ac:dyDescent="0.2">
      <c r="A1057" t="s">
        <v>17</v>
      </c>
      <c r="B1057" t="s">
        <v>99</v>
      </c>
    </row>
    <row r="1058" spans="1:8" ht="16" x14ac:dyDescent="0.2">
      <c r="A1058" s="1" t="s">
        <v>18</v>
      </c>
    </row>
    <row r="1059" spans="1:8" x14ac:dyDescent="0.2">
      <c r="A1059" t="s">
        <v>19</v>
      </c>
      <c r="B1059" t="s">
        <v>20</v>
      </c>
      <c r="C1059" t="s">
        <v>5</v>
      </c>
      <c r="D1059" t="s">
        <v>10</v>
      </c>
      <c r="E1059" t="s">
        <v>22</v>
      </c>
      <c r="F1059" t="s">
        <v>8</v>
      </c>
      <c r="G1059" t="s">
        <v>7</v>
      </c>
      <c r="H1059" t="s">
        <v>23</v>
      </c>
    </row>
    <row r="1060" spans="1:8" x14ac:dyDescent="0.2">
      <c r="A1060" t="s">
        <v>61</v>
      </c>
      <c r="B1060">
        <v>202.39130434782609</v>
      </c>
      <c r="C1060" t="s">
        <v>33</v>
      </c>
      <c r="D1060" t="s">
        <v>27</v>
      </c>
      <c r="E1060" t="s">
        <v>15</v>
      </c>
      <c r="F1060" t="s">
        <v>28</v>
      </c>
      <c r="G1060" t="s">
        <v>61</v>
      </c>
      <c r="H1060" t="s">
        <v>62</v>
      </c>
    </row>
    <row r="1061" spans="1:8" x14ac:dyDescent="0.2">
      <c r="A1061" t="s">
        <v>272</v>
      </c>
      <c r="B1061">
        <v>1900</v>
      </c>
      <c r="C1061" t="s">
        <v>33</v>
      </c>
      <c r="D1061" t="s">
        <v>27</v>
      </c>
      <c r="E1061" t="s">
        <v>15</v>
      </c>
      <c r="F1061" t="s">
        <v>28</v>
      </c>
      <c r="G1061" t="s">
        <v>273</v>
      </c>
      <c r="H1061" t="s">
        <v>62</v>
      </c>
    </row>
    <row r="1062" spans="1:8" x14ac:dyDescent="0.2">
      <c r="A1062" t="s">
        <v>274</v>
      </c>
      <c r="B1062">
        <v>308.83588807940282</v>
      </c>
      <c r="C1062" t="s">
        <v>33</v>
      </c>
      <c r="D1062" t="s">
        <v>27</v>
      </c>
      <c r="E1062" t="s">
        <v>15</v>
      </c>
      <c r="F1062" t="s">
        <v>28</v>
      </c>
      <c r="G1062" t="s">
        <v>500</v>
      </c>
      <c r="H1062" t="s">
        <v>275</v>
      </c>
    </row>
    <row r="1063" spans="1:8" x14ac:dyDescent="0.2">
      <c r="A1063" t="s">
        <v>60</v>
      </c>
      <c r="B1063">
        <v>48.80416666666666</v>
      </c>
      <c r="C1063" t="s">
        <v>26</v>
      </c>
      <c r="D1063" t="s">
        <v>27</v>
      </c>
      <c r="E1063" t="s">
        <v>15</v>
      </c>
      <c r="F1063" t="s">
        <v>28</v>
      </c>
      <c r="G1063" t="s">
        <v>54</v>
      </c>
      <c r="H1063" t="s">
        <v>34</v>
      </c>
    </row>
    <row r="1064" spans="1:8" x14ac:dyDescent="0.2">
      <c r="A1064" t="s">
        <v>276</v>
      </c>
      <c r="B1064">
        <v>-1746.4128623188401</v>
      </c>
      <c r="C1064" t="s">
        <v>33</v>
      </c>
      <c r="D1064" t="s">
        <v>27</v>
      </c>
      <c r="E1064" t="s">
        <v>15</v>
      </c>
      <c r="F1064" t="s">
        <v>28</v>
      </c>
      <c r="G1064" t="s">
        <v>277</v>
      </c>
      <c r="H1064" t="s">
        <v>25</v>
      </c>
    </row>
    <row r="1065" spans="1:8" x14ac:dyDescent="0.2">
      <c r="A1065" t="s">
        <v>501</v>
      </c>
      <c r="B1065">
        <v>-308.83588807940282</v>
      </c>
      <c r="C1065" t="s">
        <v>33</v>
      </c>
      <c r="D1065" t="s">
        <v>27</v>
      </c>
      <c r="E1065" t="s">
        <v>15</v>
      </c>
      <c r="F1065" t="s">
        <v>28</v>
      </c>
      <c r="G1065" t="s">
        <v>502</v>
      </c>
      <c r="H1065" t="s">
        <v>25</v>
      </c>
    </row>
    <row r="1066" spans="1:8" x14ac:dyDescent="0.2">
      <c r="A1066" t="s">
        <v>299</v>
      </c>
      <c r="B1066">
        <v>1</v>
      </c>
      <c r="C1066" t="s">
        <v>26</v>
      </c>
      <c r="D1066" t="s">
        <v>10</v>
      </c>
      <c r="E1066" t="s">
        <v>15</v>
      </c>
      <c r="F1066" t="s">
        <v>24</v>
      </c>
      <c r="G1066" t="s">
        <v>73</v>
      </c>
      <c r="H1066" t="s">
        <v>25</v>
      </c>
    </row>
    <row r="1069" spans="1:8" ht="16" x14ac:dyDescent="0.2">
      <c r="A1069" s="1" t="s">
        <v>4</v>
      </c>
      <c r="B1069" s="1" t="s">
        <v>456</v>
      </c>
    </row>
    <row r="1070" spans="1:8" x14ac:dyDescent="0.2">
      <c r="A1070" t="s">
        <v>5</v>
      </c>
      <c r="B1070" t="s">
        <v>26</v>
      </c>
    </row>
    <row r="1071" spans="1:8" x14ac:dyDescent="0.2">
      <c r="A1071" t="s">
        <v>6</v>
      </c>
      <c r="B1071">
        <v>1</v>
      </c>
    </row>
    <row r="1072" spans="1:8" x14ac:dyDescent="0.2">
      <c r="A1072" t="s">
        <v>7</v>
      </c>
      <c r="B1072" t="s">
        <v>65</v>
      </c>
    </row>
    <row r="1073" spans="1:8" x14ac:dyDescent="0.2">
      <c r="A1073" t="s">
        <v>8</v>
      </c>
      <c r="B1073" t="s">
        <v>9</v>
      </c>
    </row>
    <row r="1074" spans="1:8" x14ac:dyDescent="0.2">
      <c r="A1074" t="s">
        <v>10</v>
      </c>
      <c r="B1074" t="s">
        <v>10</v>
      </c>
    </row>
    <row r="1075" spans="1:8" x14ac:dyDescent="0.2">
      <c r="A1075" t="s">
        <v>11</v>
      </c>
      <c r="B1075" t="s">
        <v>12</v>
      </c>
    </row>
    <row r="1076" spans="1:8" x14ac:dyDescent="0.2">
      <c r="A1076" t="s">
        <v>13</v>
      </c>
      <c r="B1076" t="s">
        <v>291</v>
      </c>
    </row>
    <row r="1077" spans="1:8" x14ac:dyDescent="0.2">
      <c r="A1077" t="s">
        <v>14</v>
      </c>
      <c r="B1077" t="s">
        <v>271</v>
      </c>
    </row>
    <row r="1078" spans="1:8" x14ac:dyDescent="0.2">
      <c r="A1078" t="s">
        <v>16</v>
      </c>
      <c r="B1078" t="s">
        <v>15</v>
      </c>
    </row>
    <row r="1079" spans="1:8" x14ac:dyDescent="0.2">
      <c r="A1079" t="s">
        <v>17</v>
      </c>
      <c r="B1079" t="s">
        <v>100</v>
      </c>
    </row>
    <row r="1080" spans="1:8" ht="16" x14ac:dyDescent="0.2">
      <c r="A1080" s="1" t="s">
        <v>18</v>
      </c>
    </row>
    <row r="1081" spans="1:8" x14ac:dyDescent="0.2">
      <c r="A1081" t="s">
        <v>19</v>
      </c>
      <c r="B1081" t="s">
        <v>20</v>
      </c>
      <c r="C1081" t="s">
        <v>5</v>
      </c>
      <c r="D1081" t="s">
        <v>10</v>
      </c>
      <c r="E1081" t="s">
        <v>22</v>
      </c>
      <c r="F1081" t="s">
        <v>8</v>
      </c>
      <c r="G1081" t="s">
        <v>7</v>
      </c>
      <c r="H1081" t="s">
        <v>23</v>
      </c>
    </row>
    <row r="1082" spans="1:8" x14ac:dyDescent="0.2">
      <c r="A1082" t="s">
        <v>61</v>
      </c>
      <c r="B1082">
        <v>190</v>
      </c>
      <c r="C1082" t="s">
        <v>33</v>
      </c>
      <c r="D1082" t="s">
        <v>27</v>
      </c>
      <c r="E1082" t="s">
        <v>15</v>
      </c>
      <c r="F1082" t="s">
        <v>28</v>
      </c>
      <c r="G1082" t="s">
        <v>61</v>
      </c>
      <c r="H1082" t="s">
        <v>62</v>
      </c>
    </row>
    <row r="1083" spans="1:8" x14ac:dyDescent="0.2">
      <c r="A1083" t="s">
        <v>272</v>
      </c>
      <c r="B1083">
        <v>1900</v>
      </c>
      <c r="C1083" t="s">
        <v>33</v>
      </c>
      <c r="D1083" t="s">
        <v>27</v>
      </c>
      <c r="E1083" t="s">
        <v>15</v>
      </c>
      <c r="F1083" t="s">
        <v>28</v>
      </c>
      <c r="G1083" t="s">
        <v>273</v>
      </c>
      <c r="H1083" t="s">
        <v>62</v>
      </c>
    </row>
    <row r="1084" spans="1:8" x14ac:dyDescent="0.2">
      <c r="A1084" t="s">
        <v>274</v>
      </c>
      <c r="B1084">
        <v>343.82044022814978</v>
      </c>
      <c r="C1084" t="s">
        <v>33</v>
      </c>
      <c r="D1084" t="s">
        <v>27</v>
      </c>
      <c r="E1084" t="s">
        <v>15</v>
      </c>
      <c r="F1084" t="s">
        <v>28</v>
      </c>
      <c r="G1084" t="s">
        <v>500</v>
      </c>
      <c r="H1084" t="s">
        <v>275</v>
      </c>
    </row>
    <row r="1085" spans="1:8" x14ac:dyDescent="0.2">
      <c r="A1085" t="s">
        <v>60</v>
      </c>
      <c r="B1085">
        <v>55.283333333333331</v>
      </c>
      <c r="C1085" t="s">
        <v>26</v>
      </c>
      <c r="D1085" t="s">
        <v>27</v>
      </c>
      <c r="E1085" t="s">
        <v>15</v>
      </c>
      <c r="F1085" t="s">
        <v>28</v>
      </c>
      <c r="G1085" t="s">
        <v>54</v>
      </c>
      <c r="H1085" t="s">
        <v>34</v>
      </c>
    </row>
    <row r="1086" spans="1:8" x14ac:dyDescent="0.2">
      <c r="A1086" t="s">
        <v>276</v>
      </c>
      <c r="B1086">
        <v>-1765.2833333333331</v>
      </c>
      <c r="C1086" t="s">
        <v>33</v>
      </c>
      <c r="D1086" t="s">
        <v>27</v>
      </c>
      <c r="E1086" t="s">
        <v>15</v>
      </c>
      <c r="F1086" t="s">
        <v>28</v>
      </c>
      <c r="G1086" t="s">
        <v>277</v>
      </c>
      <c r="H1086" t="s">
        <v>25</v>
      </c>
    </row>
    <row r="1087" spans="1:8" x14ac:dyDescent="0.2">
      <c r="A1087" t="s">
        <v>501</v>
      </c>
      <c r="B1087">
        <v>-343.82044022814978</v>
      </c>
      <c r="C1087" t="s">
        <v>33</v>
      </c>
      <c r="D1087" t="s">
        <v>27</v>
      </c>
      <c r="E1087" t="s">
        <v>15</v>
      </c>
      <c r="F1087" t="s">
        <v>28</v>
      </c>
      <c r="G1087" t="s">
        <v>502</v>
      </c>
      <c r="H1087" t="s">
        <v>25</v>
      </c>
    </row>
    <row r="1088" spans="1:8" x14ac:dyDescent="0.2">
      <c r="A1088" t="s">
        <v>456</v>
      </c>
      <c r="B1088">
        <v>1</v>
      </c>
      <c r="C1088" t="s">
        <v>26</v>
      </c>
      <c r="D1088" t="s">
        <v>10</v>
      </c>
      <c r="E1088" t="s">
        <v>15</v>
      </c>
      <c r="F1088" t="s">
        <v>24</v>
      </c>
      <c r="G1088" t="s">
        <v>65</v>
      </c>
      <c r="H1088" t="s">
        <v>25</v>
      </c>
    </row>
    <row r="1090" spans="1:8" ht="16" x14ac:dyDescent="0.2">
      <c r="A1090" s="1" t="s">
        <v>4</v>
      </c>
      <c r="B1090" s="1" t="s">
        <v>432</v>
      </c>
    </row>
    <row r="1091" spans="1:8" x14ac:dyDescent="0.2">
      <c r="A1091" t="s">
        <v>5</v>
      </c>
      <c r="B1091" t="s">
        <v>26</v>
      </c>
    </row>
    <row r="1092" spans="1:8" x14ac:dyDescent="0.2">
      <c r="A1092" t="s">
        <v>6</v>
      </c>
      <c r="B1092">
        <v>1</v>
      </c>
    </row>
    <row r="1093" spans="1:8" x14ac:dyDescent="0.2">
      <c r="A1093" t="s">
        <v>7</v>
      </c>
      <c r="B1093" t="s">
        <v>67</v>
      </c>
    </row>
    <row r="1094" spans="1:8" x14ac:dyDescent="0.2">
      <c r="A1094" t="s">
        <v>8</v>
      </c>
      <c r="B1094" t="s">
        <v>9</v>
      </c>
    </row>
    <row r="1095" spans="1:8" x14ac:dyDescent="0.2">
      <c r="A1095" t="s">
        <v>10</v>
      </c>
      <c r="B1095" t="s">
        <v>10</v>
      </c>
    </row>
    <row r="1096" spans="1:8" x14ac:dyDescent="0.2">
      <c r="A1096" t="s">
        <v>11</v>
      </c>
      <c r="B1096" t="s">
        <v>12</v>
      </c>
    </row>
    <row r="1097" spans="1:8" x14ac:dyDescent="0.2">
      <c r="A1097" t="s">
        <v>13</v>
      </c>
      <c r="B1097" t="s">
        <v>291</v>
      </c>
    </row>
    <row r="1098" spans="1:8" x14ac:dyDescent="0.2">
      <c r="A1098" t="s">
        <v>14</v>
      </c>
      <c r="B1098" t="s">
        <v>271</v>
      </c>
    </row>
    <row r="1099" spans="1:8" x14ac:dyDescent="0.2">
      <c r="A1099" t="s">
        <v>16</v>
      </c>
      <c r="B1099" t="s">
        <v>15</v>
      </c>
    </row>
    <row r="1100" spans="1:8" x14ac:dyDescent="0.2">
      <c r="A1100" t="s">
        <v>17</v>
      </c>
      <c r="B1100" t="s">
        <v>101</v>
      </c>
    </row>
    <row r="1101" spans="1:8" ht="16" x14ac:dyDescent="0.2">
      <c r="A1101" s="1" t="s">
        <v>18</v>
      </c>
    </row>
    <row r="1102" spans="1:8" x14ac:dyDescent="0.2">
      <c r="A1102" t="s">
        <v>19</v>
      </c>
      <c r="B1102" t="s">
        <v>20</v>
      </c>
      <c r="C1102" t="s">
        <v>5</v>
      </c>
      <c r="D1102" t="s">
        <v>10</v>
      </c>
      <c r="E1102" t="s">
        <v>22</v>
      </c>
      <c r="F1102" t="s">
        <v>8</v>
      </c>
      <c r="G1102" t="s">
        <v>7</v>
      </c>
      <c r="H1102" t="s">
        <v>23</v>
      </c>
    </row>
    <row r="1103" spans="1:8" x14ac:dyDescent="0.2">
      <c r="A1103" t="s">
        <v>61</v>
      </c>
      <c r="B1103">
        <v>190</v>
      </c>
      <c r="C1103" t="s">
        <v>33</v>
      </c>
      <c r="D1103" t="s">
        <v>27</v>
      </c>
      <c r="E1103" t="s">
        <v>15</v>
      </c>
      <c r="F1103" t="s">
        <v>28</v>
      </c>
      <c r="G1103" t="s">
        <v>61</v>
      </c>
      <c r="H1103" t="s">
        <v>62</v>
      </c>
    </row>
    <row r="1104" spans="1:8" x14ac:dyDescent="0.2">
      <c r="A1104" t="s">
        <v>272</v>
      </c>
      <c r="B1104">
        <v>1900</v>
      </c>
      <c r="C1104" t="s">
        <v>33</v>
      </c>
      <c r="D1104" t="s">
        <v>27</v>
      </c>
      <c r="E1104" t="s">
        <v>15</v>
      </c>
      <c r="F1104" t="s">
        <v>28</v>
      </c>
      <c r="G1104" t="s">
        <v>273</v>
      </c>
      <c r="H1104" t="s">
        <v>62</v>
      </c>
    </row>
    <row r="1105" spans="1:8" x14ac:dyDescent="0.2">
      <c r="A1105" t="s">
        <v>274</v>
      </c>
      <c r="B1105">
        <v>343.07460167913359</v>
      </c>
      <c r="C1105" t="s">
        <v>33</v>
      </c>
      <c r="D1105" t="s">
        <v>27</v>
      </c>
      <c r="E1105" t="s">
        <v>15</v>
      </c>
      <c r="F1105" t="s">
        <v>28</v>
      </c>
      <c r="G1105" t="s">
        <v>500</v>
      </c>
      <c r="H1105" t="s">
        <v>275</v>
      </c>
    </row>
    <row r="1106" spans="1:8" x14ac:dyDescent="0.2">
      <c r="A1106" t="s">
        <v>60</v>
      </c>
      <c r="B1106">
        <v>52.162499999999987</v>
      </c>
      <c r="C1106" t="s">
        <v>26</v>
      </c>
      <c r="D1106" t="s">
        <v>27</v>
      </c>
      <c r="E1106" t="s">
        <v>15</v>
      </c>
      <c r="F1106" t="s">
        <v>28</v>
      </c>
      <c r="G1106" t="s">
        <v>54</v>
      </c>
      <c r="H1106" t="s">
        <v>34</v>
      </c>
    </row>
    <row r="1107" spans="1:8" x14ac:dyDescent="0.2">
      <c r="A1107" t="s">
        <v>276</v>
      </c>
      <c r="B1107">
        <v>-1762.1624999999999</v>
      </c>
      <c r="C1107" t="s">
        <v>33</v>
      </c>
      <c r="D1107" t="s">
        <v>27</v>
      </c>
      <c r="E1107" t="s">
        <v>15</v>
      </c>
      <c r="F1107" t="s">
        <v>28</v>
      </c>
      <c r="G1107" t="s">
        <v>277</v>
      </c>
      <c r="H1107" t="s">
        <v>25</v>
      </c>
    </row>
    <row r="1108" spans="1:8" x14ac:dyDescent="0.2">
      <c r="A1108" t="s">
        <v>501</v>
      </c>
      <c r="B1108">
        <v>-343.07460167913359</v>
      </c>
      <c r="C1108" t="s">
        <v>33</v>
      </c>
      <c r="D1108" t="s">
        <v>27</v>
      </c>
      <c r="E1108" t="s">
        <v>15</v>
      </c>
      <c r="F1108" t="s">
        <v>28</v>
      </c>
      <c r="G1108" t="s">
        <v>502</v>
      </c>
      <c r="H1108" t="s">
        <v>25</v>
      </c>
    </row>
    <row r="1109" spans="1:8" x14ac:dyDescent="0.2">
      <c r="A1109" t="s">
        <v>432</v>
      </c>
      <c r="B1109">
        <v>1</v>
      </c>
      <c r="C1109" t="s">
        <v>26</v>
      </c>
      <c r="D1109" t="s">
        <v>10</v>
      </c>
      <c r="E1109" t="s">
        <v>15</v>
      </c>
      <c r="F1109" t="s">
        <v>24</v>
      </c>
      <c r="G1109" t="s">
        <v>67</v>
      </c>
      <c r="H1109" t="s">
        <v>25</v>
      </c>
    </row>
    <row r="1111" spans="1:8" ht="16" x14ac:dyDescent="0.2">
      <c r="A1111" s="1" t="s">
        <v>4</v>
      </c>
      <c r="B1111" s="1" t="s">
        <v>408</v>
      </c>
    </row>
    <row r="1112" spans="1:8" x14ac:dyDescent="0.2">
      <c r="A1112" t="s">
        <v>5</v>
      </c>
      <c r="B1112" t="s">
        <v>26</v>
      </c>
    </row>
    <row r="1113" spans="1:8" x14ac:dyDescent="0.2">
      <c r="A1113" t="s">
        <v>6</v>
      </c>
      <c r="B1113">
        <v>1</v>
      </c>
    </row>
    <row r="1114" spans="1:8" x14ac:dyDescent="0.2">
      <c r="A1114" t="s">
        <v>7</v>
      </c>
      <c r="B1114" t="s">
        <v>69</v>
      </c>
    </row>
    <row r="1115" spans="1:8" x14ac:dyDescent="0.2">
      <c r="A1115" t="s">
        <v>8</v>
      </c>
      <c r="B1115" t="s">
        <v>9</v>
      </c>
    </row>
    <row r="1116" spans="1:8" x14ac:dyDescent="0.2">
      <c r="A1116" t="s">
        <v>10</v>
      </c>
      <c r="B1116" t="s">
        <v>10</v>
      </c>
    </row>
    <row r="1117" spans="1:8" x14ac:dyDescent="0.2">
      <c r="A1117" t="s">
        <v>11</v>
      </c>
      <c r="B1117" t="s">
        <v>12</v>
      </c>
    </row>
    <row r="1118" spans="1:8" x14ac:dyDescent="0.2">
      <c r="A1118" t="s">
        <v>13</v>
      </c>
      <c r="B1118" t="s">
        <v>291</v>
      </c>
    </row>
    <row r="1119" spans="1:8" x14ac:dyDescent="0.2">
      <c r="A1119" t="s">
        <v>14</v>
      </c>
      <c r="B1119" t="s">
        <v>271</v>
      </c>
    </row>
    <row r="1120" spans="1:8" x14ac:dyDescent="0.2">
      <c r="A1120" t="s">
        <v>16</v>
      </c>
      <c r="B1120" t="s">
        <v>15</v>
      </c>
    </row>
    <row r="1121" spans="1:8" x14ac:dyDescent="0.2">
      <c r="A1121" t="s">
        <v>17</v>
      </c>
      <c r="B1121" t="s">
        <v>102</v>
      </c>
    </row>
    <row r="1122" spans="1:8" ht="16" x14ac:dyDescent="0.2">
      <c r="A1122" s="1" t="s">
        <v>18</v>
      </c>
    </row>
    <row r="1123" spans="1:8" x14ac:dyDescent="0.2">
      <c r="A1123" t="s">
        <v>19</v>
      </c>
      <c r="B1123" t="s">
        <v>20</v>
      </c>
      <c r="C1123" t="s">
        <v>5</v>
      </c>
      <c r="D1123" t="s">
        <v>10</v>
      </c>
      <c r="E1123" t="s">
        <v>22</v>
      </c>
      <c r="F1123" t="s">
        <v>8</v>
      </c>
      <c r="G1123" t="s">
        <v>7</v>
      </c>
      <c r="H1123" t="s">
        <v>23</v>
      </c>
    </row>
    <row r="1124" spans="1:8" x14ac:dyDescent="0.2">
      <c r="A1124" t="s">
        <v>61</v>
      </c>
      <c r="B1124">
        <v>190</v>
      </c>
      <c r="C1124" t="s">
        <v>33</v>
      </c>
      <c r="D1124" t="s">
        <v>27</v>
      </c>
      <c r="E1124" t="s">
        <v>15</v>
      </c>
      <c r="F1124" t="s">
        <v>28</v>
      </c>
      <c r="G1124" t="s">
        <v>61</v>
      </c>
      <c r="H1124" t="s">
        <v>62</v>
      </c>
    </row>
    <row r="1125" spans="1:8" x14ac:dyDescent="0.2">
      <c r="A1125" t="s">
        <v>272</v>
      </c>
      <c r="B1125">
        <v>1900</v>
      </c>
      <c r="C1125" t="s">
        <v>33</v>
      </c>
      <c r="D1125" t="s">
        <v>27</v>
      </c>
      <c r="E1125" t="s">
        <v>15</v>
      </c>
      <c r="F1125" t="s">
        <v>28</v>
      </c>
      <c r="G1125" t="s">
        <v>273</v>
      </c>
      <c r="H1125" t="s">
        <v>62</v>
      </c>
    </row>
    <row r="1126" spans="1:8" x14ac:dyDescent="0.2">
      <c r="A1126" t="s">
        <v>274</v>
      </c>
      <c r="B1126">
        <v>342.32876313011741</v>
      </c>
      <c r="C1126" t="s">
        <v>33</v>
      </c>
      <c r="D1126" t="s">
        <v>27</v>
      </c>
      <c r="E1126" t="s">
        <v>15</v>
      </c>
      <c r="F1126" t="s">
        <v>28</v>
      </c>
      <c r="G1126" t="s">
        <v>500</v>
      </c>
      <c r="H1126" t="s">
        <v>275</v>
      </c>
    </row>
    <row r="1127" spans="1:8" x14ac:dyDescent="0.2">
      <c r="A1127" t="s">
        <v>60</v>
      </c>
      <c r="B1127">
        <v>49.041666666666657</v>
      </c>
      <c r="C1127" t="s">
        <v>26</v>
      </c>
      <c r="D1127" t="s">
        <v>27</v>
      </c>
      <c r="E1127" t="s">
        <v>15</v>
      </c>
      <c r="F1127" t="s">
        <v>28</v>
      </c>
      <c r="G1127" t="s">
        <v>54</v>
      </c>
      <c r="H1127" t="s">
        <v>34</v>
      </c>
    </row>
    <row r="1128" spans="1:8" x14ac:dyDescent="0.2">
      <c r="A1128" t="s">
        <v>276</v>
      </c>
      <c r="B1128">
        <v>-1759.041666666667</v>
      </c>
      <c r="C1128" t="s">
        <v>33</v>
      </c>
      <c r="D1128" t="s">
        <v>27</v>
      </c>
      <c r="E1128" t="s">
        <v>15</v>
      </c>
      <c r="F1128" t="s">
        <v>28</v>
      </c>
      <c r="G1128" t="s">
        <v>277</v>
      </c>
      <c r="H1128" t="s">
        <v>25</v>
      </c>
    </row>
    <row r="1129" spans="1:8" x14ac:dyDescent="0.2">
      <c r="A1129" t="s">
        <v>501</v>
      </c>
      <c r="B1129">
        <v>-342.32876313011741</v>
      </c>
      <c r="C1129" t="s">
        <v>33</v>
      </c>
      <c r="D1129" t="s">
        <v>27</v>
      </c>
      <c r="E1129" t="s">
        <v>15</v>
      </c>
      <c r="F1129" t="s">
        <v>28</v>
      </c>
      <c r="G1129" t="s">
        <v>502</v>
      </c>
      <c r="H1129" t="s">
        <v>25</v>
      </c>
    </row>
    <row r="1130" spans="1:8" x14ac:dyDescent="0.2">
      <c r="A1130" t="s">
        <v>408</v>
      </c>
      <c r="B1130">
        <v>1</v>
      </c>
      <c r="C1130" t="s">
        <v>26</v>
      </c>
      <c r="D1130" t="s">
        <v>10</v>
      </c>
      <c r="E1130" t="s">
        <v>15</v>
      </c>
      <c r="F1130" t="s">
        <v>24</v>
      </c>
      <c r="G1130" t="s">
        <v>69</v>
      </c>
      <c r="H1130" t="s">
        <v>25</v>
      </c>
    </row>
    <row r="1132" spans="1:8" ht="16" x14ac:dyDescent="0.2">
      <c r="A1132" s="1" t="s">
        <v>4</v>
      </c>
      <c r="B1132" s="1" t="s">
        <v>356</v>
      </c>
    </row>
    <row r="1133" spans="1:8" x14ac:dyDescent="0.2">
      <c r="A1133" t="s">
        <v>5</v>
      </c>
      <c r="B1133" t="s">
        <v>26</v>
      </c>
    </row>
    <row r="1134" spans="1:8" x14ac:dyDescent="0.2">
      <c r="A1134" t="s">
        <v>6</v>
      </c>
      <c r="B1134">
        <v>1</v>
      </c>
    </row>
    <row r="1135" spans="1:8" x14ac:dyDescent="0.2">
      <c r="A1135" t="s">
        <v>7</v>
      </c>
      <c r="B1135" t="s">
        <v>71</v>
      </c>
    </row>
    <row r="1136" spans="1:8" x14ac:dyDescent="0.2">
      <c r="A1136" t="s">
        <v>8</v>
      </c>
      <c r="B1136" t="s">
        <v>9</v>
      </c>
    </row>
    <row r="1137" spans="1:8" x14ac:dyDescent="0.2">
      <c r="A1137" t="s">
        <v>10</v>
      </c>
      <c r="B1137" t="s">
        <v>10</v>
      </c>
    </row>
    <row r="1138" spans="1:8" x14ac:dyDescent="0.2">
      <c r="A1138" t="s">
        <v>11</v>
      </c>
      <c r="B1138" t="s">
        <v>12</v>
      </c>
    </row>
    <row r="1139" spans="1:8" x14ac:dyDescent="0.2">
      <c r="A1139" t="s">
        <v>13</v>
      </c>
      <c r="B1139" t="s">
        <v>291</v>
      </c>
    </row>
    <row r="1140" spans="1:8" x14ac:dyDescent="0.2">
      <c r="A1140" t="s">
        <v>14</v>
      </c>
      <c r="B1140" t="s">
        <v>271</v>
      </c>
    </row>
    <row r="1141" spans="1:8" x14ac:dyDescent="0.2">
      <c r="A1141" t="s">
        <v>16</v>
      </c>
      <c r="B1141" t="s">
        <v>15</v>
      </c>
    </row>
    <row r="1142" spans="1:8" x14ac:dyDescent="0.2">
      <c r="A1142" t="s">
        <v>17</v>
      </c>
      <c r="B1142" t="s">
        <v>103</v>
      </c>
    </row>
    <row r="1143" spans="1:8" ht="16" x14ac:dyDescent="0.2">
      <c r="A1143" s="1" t="s">
        <v>18</v>
      </c>
    </row>
    <row r="1144" spans="1:8" x14ac:dyDescent="0.2">
      <c r="A1144" t="s">
        <v>19</v>
      </c>
      <c r="B1144" t="s">
        <v>20</v>
      </c>
      <c r="C1144" t="s">
        <v>5</v>
      </c>
      <c r="D1144" t="s">
        <v>10</v>
      </c>
      <c r="E1144" t="s">
        <v>22</v>
      </c>
      <c r="F1144" t="s">
        <v>8</v>
      </c>
      <c r="G1144" t="s">
        <v>7</v>
      </c>
      <c r="H1144" t="s">
        <v>23</v>
      </c>
    </row>
    <row r="1145" spans="1:8" x14ac:dyDescent="0.2">
      <c r="A1145" t="s">
        <v>61</v>
      </c>
      <c r="B1145">
        <v>196.19565217391309</v>
      </c>
      <c r="C1145" t="s">
        <v>33</v>
      </c>
      <c r="D1145" t="s">
        <v>27</v>
      </c>
      <c r="E1145" t="s">
        <v>15</v>
      </c>
      <c r="F1145" t="s">
        <v>28</v>
      </c>
      <c r="G1145" t="s">
        <v>61</v>
      </c>
      <c r="H1145" t="s">
        <v>62</v>
      </c>
    </row>
    <row r="1146" spans="1:8" x14ac:dyDescent="0.2">
      <c r="A1146" t="s">
        <v>272</v>
      </c>
      <c r="B1146">
        <v>1900</v>
      </c>
      <c r="C1146" t="s">
        <v>33</v>
      </c>
      <c r="D1146" t="s">
        <v>27</v>
      </c>
      <c r="E1146" t="s">
        <v>15</v>
      </c>
      <c r="F1146" t="s">
        <v>28</v>
      </c>
      <c r="G1146" t="s">
        <v>273</v>
      </c>
      <c r="H1146" t="s">
        <v>62</v>
      </c>
    </row>
    <row r="1147" spans="1:8" x14ac:dyDescent="0.2">
      <c r="A1147" t="s">
        <v>274</v>
      </c>
      <c r="B1147">
        <v>339.40034634038659</v>
      </c>
      <c r="C1147" t="s">
        <v>33</v>
      </c>
      <c r="D1147" t="s">
        <v>27</v>
      </c>
      <c r="E1147" t="s">
        <v>15</v>
      </c>
      <c r="F1147" t="s">
        <v>28</v>
      </c>
      <c r="G1147" t="s">
        <v>500</v>
      </c>
      <c r="H1147" t="s">
        <v>275</v>
      </c>
    </row>
    <row r="1148" spans="1:8" x14ac:dyDescent="0.2">
      <c r="A1148" t="s">
        <v>60</v>
      </c>
      <c r="B1148">
        <v>49.153125000000003</v>
      </c>
      <c r="C1148" t="s">
        <v>26</v>
      </c>
      <c r="D1148" t="s">
        <v>27</v>
      </c>
      <c r="E1148" t="s">
        <v>15</v>
      </c>
      <c r="F1148" t="s">
        <v>28</v>
      </c>
      <c r="G1148" t="s">
        <v>54</v>
      </c>
      <c r="H1148" t="s">
        <v>34</v>
      </c>
    </row>
    <row r="1149" spans="1:8" x14ac:dyDescent="0.2">
      <c r="A1149" t="s">
        <v>276</v>
      </c>
      <c r="B1149">
        <v>-1752.957472826087</v>
      </c>
      <c r="C1149" t="s">
        <v>33</v>
      </c>
      <c r="D1149" t="s">
        <v>27</v>
      </c>
      <c r="E1149" t="s">
        <v>15</v>
      </c>
      <c r="F1149" t="s">
        <v>28</v>
      </c>
      <c r="G1149" t="s">
        <v>277</v>
      </c>
      <c r="H1149" t="s">
        <v>25</v>
      </c>
    </row>
    <row r="1150" spans="1:8" x14ac:dyDescent="0.2">
      <c r="A1150" t="s">
        <v>501</v>
      </c>
      <c r="B1150">
        <v>-339.40034634038659</v>
      </c>
      <c r="C1150" t="s">
        <v>33</v>
      </c>
      <c r="D1150" t="s">
        <v>27</v>
      </c>
      <c r="E1150" t="s">
        <v>15</v>
      </c>
      <c r="F1150" t="s">
        <v>28</v>
      </c>
      <c r="G1150" t="s">
        <v>502</v>
      </c>
      <c r="H1150" t="s">
        <v>25</v>
      </c>
    </row>
    <row r="1151" spans="1:8" x14ac:dyDescent="0.2">
      <c r="A1151" t="s">
        <v>356</v>
      </c>
      <c r="B1151">
        <v>1</v>
      </c>
      <c r="C1151" t="s">
        <v>26</v>
      </c>
      <c r="D1151" t="s">
        <v>10</v>
      </c>
      <c r="E1151" t="s">
        <v>15</v>
      </c>
      <c r="F1151" t="s">
        <v>24</v>
      </c>
      <c r="G1151" t="s">
        <v>71</v>
      </c>
      <c r="H1151" t="s">
        <v>25</v>
      </c>
    </row>
    <row r="1153" spans="1:8" ht="16" x14ac:dyDescent="0.2">
      <c r="A1153" s="1" t="s">
        <v>4</v>
      </c>
      <c r="B1153" s="1" t="s">
        <v>300</v>
      </c>
    </row>
    <row r="1154" spans="1:8" x14ac:dyDescent="0.2">
      <c r="A1154" t="s">
        <v>5</v>
      </c>
      <c r="B1154" t="s">
        <v>26</v>
      </c>
    </row>
    <row r="1155" spans="1:8" x14ac:dyDescent="0.2">
      <c r="A1155" t="s">
        <v>6</v>
      </c>
      <c r="B1155">
        <v>1</v>
      </c>
    </row>
    <row r="1156" spans="1:8" x14ac:dyDescent="0.2">
      <c r="A1156" t="s">
        <v>7</v>
      </c>
      <c r="B1156" t="s">
        <v>73</v>
      </c>
    </row>
    <row r="1157" spans="1:8" x14ac:dyDescent="0.2">
      <c r="A1157" t="s">
        <v>8</v>
      </c>
      <c r="B1157" t="s">
        <v>9</v>
      </c>
    </row>
    <row r="1158" spans="1:8" x14ac:dyDescent="0.2">
      <c r="A1158" t="s">
        <v>10</v>
      </c>
      <c r="B1158" t="s">
        <v>10</v>
      </c>
    </row>
    <row r="1159" spans="1:8" x14ac:dyDescent="0.2">
      <c r="A1159" t="s">
        <v>11</v>
      </c>
      <c r="B1159" t="s">
        <v>12</v>
      </c>
    </row>
    <row r="1160" spans="1:8" x14ac:dyDescent="0.2">
      <c r="A1160" t="s">
        <v>13</v>
      </c>
      <c r="B1160" t="s">
        <v>291</v>
      </c>
    </row>
    <row r="1161" spans="1:8" x14ac:dyDescent="0.2">
      <c r="A1161" t="s">
        <v>14</v>
      </c>
      <c r="B1161" t="s">
        <v>271</v>
      </c>
    </row>
    <row r="1162" spans="1:8" x14ac:dyDescent="0.2">
      <c r="A1162" t="s">
        <v>16</v>
      </c>
      <c r="B1162" t="s">
        <v>15</v>
      </c>
    </row>
    <row r="1163" spans="1:8" x14ac:dyDescent="0.2">
      <c r="A1163" t="s">
        <v>17</v>
      </c>
      <c r="B1163" t="s">
        <v>104</v>
      </c>
    </row>
    <row r="1164" spans="1:8" ht="16" x14ac:dyDescent="0.2">
      <c r="A1164" s="1" t="s">
        <v>18</v>
      </c>
    </row>
    <row r="1165" spans="1:8" x14ac:dyDescent="0.2">
      <c r="A1165" t="s">
        <v>19</v>
      </c>
      <c r="B1165" t="s">
        <v>20</v>
      </c>
      <c r="C1165" t="s">
        <v>5</v>
      </c>
      <c r="D1165" t="s">
        <v>10</v>
      </c>
      <c r="E1165" t="s">
        <v>22</v>
      </c>
      <c r="F1165" t="s">
        <v>8</v>
      </c>
      <c r="G1165" t="s">
        <v>7</v>
      </c>
      <c r="H1165" t="s">
        <v>23</v>
      </c>
    </row>
    <row r="1166" spans="1:8" x14ac:dyDescent="0.2">
      <c r="A1166" t="s">
        <v>61</v>
      </c>
      <c r="B1166">
        <v>202.39130434782609</v>
      </c>
      <c r="C1166" t="s">
        <v>33</v>
      </c>
      <c r="D1166" t="s">
        <v>27</v>
      </c>
      <c r="E1166" t="s">
        <v>15</v>
      </c>
      <c r="F1166" t="s">
        <v>28</v>
      </c>
      <c r="G1166" t="s">
        <v>61</v>
      </c>
      <c r="H1166" t="s">
        <v>62</v>
      </c>
    </row>
    <row r="1167" spans="1:8" x14ac:dyDescent="0.2">
      <c r="A1167" t="s">
        <v>272</v>
      </c>
      <c r="B1167">
        <v>1900</v>
      </c>
      <c r="C1167" t="s">
        <v>33</v>
      </c>
      <c r="D1167" t="s">
        <v>27</v>
      </c>
      <c r="E1167" t="s">
        <v>15</v>
      </c>
      <c r="F1167" t="s">
        <v>28</v>
      </c>
      <c r="G1167" t="s">
        <v>273</v>
      </c>
      <c r="H1167" t="s">
        <v>62</v>
      </c>
    </row>
    <row r="1168" spans="1:8" x14ac:dyDescent="0.2">
      <c r="A1168" t="s">
        <v>274</v>
      </c>
      <c r="B1168">
        <v>336.48158963442478</v>
      </c>
      <c r="C1168" t="s">
        <v>33</v>
      </c>
      <c r="D1168" t="s">
        <v>27</v>
      </c>
      <c r="E1168" t="s">
        <v>15</v>
      </c>
      <c r="F1168" t="s">
        <v>28</v>
      </c>
      <c r="G1168" t="s">
        <v>500</v>
      </c>
      <c r="H1168" t="s">
        <v>275</v>
      </c>
    </row>
    <row r="1169" spans="1:8" x14ac:dyDescent="0.2">
      <c r="A1169" t="s">
        <v>60</v>
      </c>
      <c r="B1169">
        <v>49.264583333333327</v>
      </c>
      <c r="C1169" t="s">
        <v>26</v>
      </c>
      <c r="D1169" t="s">
        <v>27</v>
      </c>
      <c r="E1169" t="s">
        <v>15</v>
      </c>
      <c r="F1169" t="s">
        <v>28</v>
      </c>
      <c r="G1169" t="s">
        <v>54</v>
      </c>
      <c r="H1169" t="s">
        <v>34</v>
      </c>
    </row>
    <row r="1170" spans="1:8" x14ac:dyDescent="0.2">
      <c r="A1170" t="s">
        <v>276</v>
      </c>
      <c r="B1170">
        <v>-1746.8732789855071</v>
      </c>
      <c r="C1170" t="s">
        <v>33</v>
      </c>
      <c r="D1170" t="s">
        <v>27</v>
      </c>
      <c r="E1170" t="s">
        <v>15</v>
      </c>
      <c r="F1170" t="s">
        <v>28</v>
      </c>
      <c r="G1170" t="s">
        <v>277</v>
      </c>
      <c r="H1170" t="s">
        <v>25</v>
      </c>
    </row>
    <row r="1171" spans="1:8" x14ac:dyDescent="0.2">
      <c r="A1171" t="s">
        <v>501</v>
      </c>
      <c r="B1171">
        <v>-336.48158963442478</v>
      </c>
      <c r="C1171" t="s">
        <v>33</v>
      </c>
      <c r="D1171" t="s">
        <v>27</v>
      </c>
      <c r="E1171" t="s">
        <v>15</v>
      </c>
      <c r="F1171" t="s">
        <v>28</v>
      </c>
      <c r="G1171" t="s">
        <v>502</v>
      </c>
      <c r="H1171" t="s">
        <v>25</v>
      </c>
    </row>
    <row r="1172" spans="1:8" x14ac:dyDescent="0.2">
      <c r="A1172" t="s">
        <v>300</v>
      </c>
      <c r="B1172">
        <v>1</v>
      </c>
      <c r="C1172" t="s">
        <v>26</v>
      </c>
      <c r="D1172" t="s">
        <v>10</v>
      </c>
      <c r="E1172" t="s">
        <v>15</v>
      </c>
      <c r="F1172" t="s">
        <v>24</v>
      </c>
      <c r="G1172" t="s">
        <v>73</v>
      </c>
      <c r="H1172" t="s">
        <v>25</v>
      </c>
    </row>
    <row r="1175" spans="1:8" ht="16" x14ac:dyDescent="0.2">
      <c r="A1175" s="1" t="s">
        <v>4</v>
      </c>
      <c r="B1175" s="1" t="s">
        <v>457</v>
      </c>
    </row>
    <row r="1176" spans="1:8" x14ac:dyDescent="0.2">
      <c r="A1176" t="s">
        <v>5</v>
      </c>
      <c r="B1176" t="s">
        <v>26</v>
      </c>
    </row>
    <row r="1177" spans="1:8" x14ac:dyDescent="0.2">
      <c r="A1177" t="s">
        <v>6</v>
      </c>
      <c r="B1177">
        <v>1</v>
      </c>
    </row>
    <row r="1178" spans="1:8" x14ac:dyDescent="0.2">
      <c r="A1178" t="s">
        <v>7</v>
      </c>
      <c r="B1178" t="s">
        <v>65</v>
      </c>
    </row>
    <row r="1179" spans="1:8" x14ac:dyDescent="0.2">
      <c r="A1179" t="s">
        <v>8</v>
      </c>
      <c r="B1179" t="s">
        <v>9</v>
      </c>
    </row>
    <row r="1180" spans="1:8" x14ac:dyDescent="0.2">
      <c r="A1180" t="s">
        <v>10</v>
      </c>
      <c r="B1180" t="s">
        <v>10</v>
      </c>
    </row>
    <row r="1181" spans="1:8" x14ac:dyDescent="0.2">
      <c r="A1181" t="s">
        <v>11</v>
      </c>
      <c r="B1181" t="s">
        <v>12</v>
      </c>
    </row>
    <row r="1182" spans="1:8" x14ac:dyDescent="0.2">
      <c r="A1182" t="s">
        <v>13</v>
      </c>
      <c r="B1182" t="s">
        <v>291</v>
      </c>
    </row>
    <row r="1183" spans="1:8" x14ac:dyDescent="0.2">
      <c r="A1183" t="s">
        <v>14</v>
      </c>
      <c r="B1183" t="s">
        <v>271</v>
      </c>
    </row>
    <row r="1184" spans="1:8" x14ac:dyDescent="0.2">
      <c r="A1184" t="s">
        <v>16</v>
      </c>
      <c r="B1184" t="s">
        <v>15</v>
      </c>
    </row>
    <row r="1185" spans="1:8" x14ac:dyDescent="0.2">
      <c r="A1185" t="s">
        <v>17</v>
      </c>
      <c r="B1185" t="s">
        <v>105</v>
      </c>
    </row>
    <row r="1186" spans="1:8" ht="16" x14ac:dyDescent="0.2">
      <c r="A1186" s="1" t="s">
        <v>18</v>
      </c>
    </row>
    <row r="1187" spans="1:8" x14ac:dyDescent="0.2">
      <c r="A1187" t="s">
        <v>19</v>
      </c>
      <c r="B1187" t="s">
        <v>20</v>
      </c>
      <c r="C1187" t="s">
        <v>5</v>
      </c>
      <c r="D1187" t="s">
        <v>10</v>
      </c>
      <c r="E1187" t="s">
        <v>22</v>
      </c>
      <c r="F1187" t="s">
        <v>8</v>
      </c>
      <c r="G1187" t="s">
        <v>7</v>
      </c>
      <c r="H1187" t="s">
        <v>23</v>
      </c>
    </row>
    <row r="1188" spans="1:8" x14ac:dyDescent="0.2">
      <c r="A1188" t="s">
        <v>486</v>
      </c>
      <c r="B1188">
        <v>136</v>
      </c>
      <c r="C1188" t="s">
        <v>26</v>
      </c>
      <c r="D1188" t="s">
        <v>27</v>
      </c>
      <c r="E1188" t="s">
        <v>15</v>
      </c>
      <c r="F1188" t="s">
        <v>28</v>
      </c>
      <c r="G1188" t="s">
        <v>487</v>
      </c>
      <c r="H1188" t="s">
        <v>25</v>
      </c>
    </row>
    <row r="1189" spans="1:8" x14ac:dyDescent="0.2">
      <c r="A1189" t="s">
        <v>61</v>
      </c>
      <c r="B1189">
        <v>190</v>
      </c>
      <c r="C1189" t="s">
        <v>33</v>
      </c>
      <c r="D1189" t="s">
        <v>27</v>
      </c>
      <c r="E1189" t="s">
        <v>15</v>
      </c>
      <c r="F1189" t="s">
        <v>28</v>
      </c>
      <c r="G1189" t="s">
        <v>61</v>
      </c>
      <c r="H1189" t="s">
        <v>62</v>
      </c>
    </row>
    <row r="1190" spans="1:8" x14ac:dyDescent="0.2">
      <c r="A1190" t="s">
        <v>272</v>
      </c>
      <c r="B1190">
        <v>1900</v>
      </c>
      <c r="C1190" t="s">
        <v>33</v>
      </c>
      <c r="D1190" t="s">
        <v>27</v>
      </c>
      <c r="E1190" t="s">
        <v>15</v>
      </c>
      <c r="F1190" t="s">
        <v>28</v>
      </c>
      <c r="G1190" t="s">
        <v>273</v>
      </c>
      <c r="H1190" t="s">
        <v>62</v>
      </c>
    </row>
    <row r="1191" spans="1:8" x14ac:dyDescent="0.2">
      <c r="A1191" t="s">
        <v>274</v>
      </c>
      <c r="B1191">
        <v>321.58289307355881</v>
      </c>
      <c r="C1191" t="s">
        <v>33</v>
      </c>
      <c r="D1191" t="s">
        <v>27</v>
      </c>
      <c r="E1191" t="s">
        <v>15</v>
      </c>
      <c r="F1191" t="s">
        <v>28</v>
      </c>
      <c r="G1191" t="s">
        <v>500</v>
      </c>
      <c r="H1191" t="s">
        <v>275</v>
      </c>
    </row>
    <row r="1192" spans="1:8" x14ac:dyDescent="0.2">
      <c r="A1192" t="s">
        <v>276</v>
      </c>
      <c r="B1192">
        <v>-1846</v>
      </c>
      <c r="C1192" t="s">
        <v>33</v>
      </c>
      <c r="D1192" t="s">
        <v>27</v>
      </c>
      <c r="E1192" t="s">
        <v>15</v>
      </c>
      <c r="F1192" t="s">
        <v>28</v>
      </c>
      <c r="G1192" t="s">
        <v>277</v>
      </c>
      <c r="H1192" t="s">
        <v>25</v>
      </c>
    </row>
    <row r="1193" spans="1:8" x14ac:dyDescent="0.2">
      <c r="A1193" t="s">
        <v>501</v>
      </c>
      <c r="B1193">
        <v>-321.58289307355881</v>
      </c>
      <c r="C1193" t="s">
        <v>33</v>
      </c>
      <c r="D1193" t="s">
        <v>27</v>
      </c>
      <c r="E1193" t="s">
        <v>15</v>
      </c>
      <c r="F1193" t="s">
        <v>28</v>
      </c>
      <c r="G1193" t="s">
        <v>502</v>
      </c>
      <c r="H1193" t="s">
        <v>25</v>
      </c>
    </row>
    <row r="1194" spans="1:8" x14ac:dyDescent="0.2">
      <c r="A1194" t="s">
        <v>457</v>
      </c>
      <c r="B1194">
        <v>1</v>
      </c>
      <c r="C1194" t="s">
        <v>26</v>
      </c>
      <c r="D1194" t="s">
        <v>10</v>
      </c>
      <c r="E1194" t="s">
        <v>15</v>
      </c>
      <c r="F1194" t="s">
        <v>24</v>
      </c>
      <c r="G1194" t="s">
        <v>65</v>
      </c>
      <c r="H1194" t="s">
        <v>25</v>
      </c>
    </row>
    <row r="1196" spans="1:8" ht="16" x14ac:dyDescent="0.2">
      <c r="A1196" s="1" t="s">
        <v>4</v>
      </c>
      <c r="B1196" s="1" t="s">
        <v>433</v>
      </c>
    </row>
    <row r="1197" spans="1:8" x14ac:dyDescent="0.2">
      <c r="A1197" t="s">
        <v>5</v>
      </c>
      <c r="B1197" t="s">
        <v>26</v>
      </c>
    </row>
    <row r="1198" spans="1:8" x14ac:dyDescent="0.2">
      <c r="A1198" t="s">
        <v>6</v>
      </c>
      <c r="B1198">
        <v>1</v>
      </c>
    </row>
    <row r="1199" spans="1:8" x14ac:dyDescent="0.2">
      <c r="A1199" t="s">
        <v>7</v>
      </c>
      <c r="B1199" t="s">
        <v>67</v>
      </c>
    </row>
    <row r="1200" spans="1:8" x14ac:dyDescent="0.2">
      <c r="A1200" t="s">
        <v>8</v>
      </c>
      <c r="B1200" t="s">
        <v>9</v>
      </c>
    </row>
    <row r="1201" spans="1:8" x14ac:dyDescent="0.2">
      <c r="A1201" t="s">
        <v>10</v>
      </c>
      <c r="B1201" t="s">
        <v>10</v>
      </c>
    </row>
    <row r="1202" spans="1:8" x14ac:dyDescent="0.2">
      <c r="A1202" t="s">
        <v>11</v>
      </c>
      <c r="B1202" t="s">
        <v>12</v>
      </c>
    </row>
    <row r="1203" spans="1:8" x14ac:dyDescent="0.2">
      <c r="A1203" t="s">
        <v>13</v>
      </c>
      <c r="B1203" t="s">
        <v>291</v>
      </c>
    </row>
    <row r="1204" spans="1:8" x14ac:dyDescent="0.2">
      <c r="A1204" t="s">
        <v>14</v>
      </c>
      <c r="B1204" t="s">
        <v>271</v>
      </c>
    </row>
    <row r="1205" spans="1:8" x14ac:dyDescent="0.2">
      <c r="A1205" t="s">
        <v>16</v>
      </c>
      <c r="B1205" t="s">
        <v>15</v>
      </c>
    </row>
    <row r="1206" spans="1:8" x14ac:dyDescent="0.2">
      <c r="A1206" t="s">
        <v>17</v>
      </c>
      <c r="B1206" t="s">
        <v>106</v>
      </c>
    </row>
    <row r="1207" spans="1:8" ht="16" x14ac:dyDescent="0.2">
      <c r="A1207" s="1" t="s">
        <v>18</v>
      </c>
    </row>
    <row r="1208" spans="1:8" x14ac:dyDescent="0.2">
      <c r="A1208" t="s">
        <v>19</v>
      </c>
      <c r="B1208" t="s">
        <v>20</v>
      </c>
      <c r="C1208" t="s">
        <v>5</v>
      </c>
      <c r="D1208" t="s">
        <v>10</v>
      </c>
      <c r="E1208" t="s">
        <v>22</v>
      </c>
      <c r="F1208" t="s">
        <v>8</v>
      </c>
      <c r="G1208" t="s">
        <v>7</v>
      </c>
      <c r="H1208" t="s">
        <v>23</v>
      </c>
    </row>
    <row r="1209" spans="1:8" x14ac:dyDescent="0.2">
      <c r="A1209" t="s">
        <v>486</v>
      </c>
      <c r="B1209">
        <v>129.83333333333329</v>
      </c>
      <c r="C1209" t="s">
        <v>26</v>
      </c>
      <c r="D1209" t="s">
        <v>27</v>
      </c>
      <c r="E1209" t="s">
        <v>15</v>
      </c>
      <c r="F1209" t="s">
        <v>28</v>
      </c>
      <c r="G1209" t="s">
        <v>487</v>
      </c>
      <c r="H1209" t="s">
        <v>25</v>
      </c>
    </row>
    <row r="1210" spans="1:8" x14ac:dyDescent="0.2">
      <c r="A1210" t="s">
        <v>61</v>
      </c>
      <c r="B1210">
        <v>190</v>
      </c>
      <c r="C1210" t="s">
        <v>33</v>
      </c>
      <c r="D1210" t="s">
        <v>27</v>
      </c>
      <c r="E1210" t="s">
        <v>15</v>
      </c>
      <c r="F1210" t="s">
        <v>28</v>
      </c>
      <c r="G1210" t="s">
        <v>61</v>
      </c>
      <c r="H1210" t="s">
        <v>62</v>
      </c>
    </row>
    <row r="1211" spans="1:8" x14ac:dyDescent="0.2">
      <c r="A1211" t="s">
        <v>272</v>
      </c>
      <c r="B1211">
        <v>1900</v>
      </c>
      <c r="C1211" t="s">
        <v>33</v>
      </c>
      <c r="D1211" t="s">
        <v>27</v>
      </c>
      <c r="E1211" t="s">
        <v>15</v>
      </c>
      <c r="F1211" t="s">
        <v>28</v>
      </c>
      <c r="G1211" t="s">
        <v>273</v>
      </c>
      <c r="H1211" t="s">
        <v>62</v>
      </c>
    </row>
    <row r="1212" spans="1:8" x14ac:dyDescent="0.2">
      <c r="A1212" t="s">
        <v>274</v>
      </c>
      <c r="B1212">
        <v>320.73811626434332</v>
      </c>
      <c r="C1212" t="s">
        <v>33</v>
      </c>
      <c r="D1212" t="s">
        <v>27</v>
      </c>
      <c r="E1212" t="s">
        <v>15</v>
      </c>
      <c r="F1212" t="s">
        <v>28</v>
      </c>
      <c r="G1212" t="s">
        <v>500</v>
      </c>
      <c r="H1212" t="s">
        <v>275</v>
      </c>
    </row>
    <row r="1213" spans="1:8" x14ac:dyDescent="0.2">
      <c r="A1213" t="s">
        <v>276</v>
      </c>
      <c r="B1213">
        <v>-1839.833333333333</v>
      </c>
      <c r="C1213" t="s">
        <v>33</v>
      </c>
      <c r="D1213" t="s">
        <v>27</v>
      </c>
      <c r="E1213" t="s">
        <v>15</v>
      </c>
      <c r="F1213" t="s">
        <v>28</v>
      </c>
      <c r="G1213" t="s">
        <v>277</v>
      </c>
      <c r="H1213" t="s">
        <v>25</v>
      </c>
    </row>
    <row r="1214" spans="1:8" x14ac:dyDescent="0.2">
      <c r="A1214" t="s">
        <v>501</v>
      </c>
      <c r="B1214">
        <v>-320.73811626434332</v>
      </c>
      <c r="C1214" t="s">
        <v>33</v>
      </c>
      <c r="D1214" t="s">
        <v>27</v>
      </c>
      <c r="E1214" t="s">
        <v>15</v>
      </c>
      <c r="F1214" t="s">
        <v>28</v>
      </c>
      <c r="G1214" t="s">
        <v>502</v>
      </c>
      <c r="H1214" t="s">
        <v>25</v>
      </c>
    </row>
    <row r="1215" spans="1:8" x14ac:dyDescent="0.2">
      <c r="A1215" t="s">
        <v>433</v>
      </c>
      <c r="B1215">
        <v>1</v>
      </c>
      <c r="C1215" t="s">
        <v>26</v>
      </c>
      <c r="D1215" t="s">
        <v>10</v>
      </c>
      <c r="E1215" t="s">
        <v>15</v>
      </c>
      <c r="F1215" t="s">
        <v>24</v>
      </c>
      <c r="G1215" t="s">
        <v>67</v>
      </c>
      <c r="H1215" t="s">
        <v>25</v>
      </c>
    </row>
    <row r="1217" spans="1:8" ht="16" x14ac:dyDescent="0.2">
      <c r="A1217" s="1" t="s">
        <v>4</v>
      </c>
      <c r="B1217" s="1" t="s">
        <v>409</v>
      </c>
    </row>
    <row r="1218" spans="1:8" x14ac:dyDescent="0.2">
      <c r="A1218" t="s">
        <v>5</v>
      </c>
      <c r="B1218" t="s">
        <v>26</v>
      </c>
    </row>
    <row r="1219" spans="1:8" x14ac:dyDescent="0.2">
      <c r="A1219" t="s">
        <v>6</v>
      </c>
      <c r="B1219">
        <v>1</v>
      </c>
    </row>
    <row r="1220" spans="1:8" x14ac:dyDescent="0.2">
      <c r="A1220" t="s">
        <v>7</v>
      </c>
      <c r="B1220" t="s">
        <v>69</v>
      </c>
    </row>
    <row r="1221" spans="1:8" x14ac:dyDescent="0.2">
      <c r="A1221" t="s">
        <v>8</v>
      </c>
      <c r="B1221" t="s">
        <v>9</v>
      </c>
    </row>
    <row r="1222" spans="1:8" x14ac:dyDescent="0.2">
      <c r="A1222" t="s">
        <v>10</v>
      </c>
      <c r="B1222" t="s">
        <v>10</v>
      </c>
    </row>
    <row r="1223" spans="1:8" x14ac:dyDescent="0.2">
      <c r="A1223" t="s">
        <v>11</v>
      </c>
      <c r="B1223" t="s">
        <v>12</v>
      </c>
    </row>
    <row r="1224" spans="1:8" x14ac:dyDescent="0.2">
      <c r="A1224" t="s">
        <v>13</v>
      </c>
      <c r="B1224" t="s">
        <v>291</v>
      </c>
    </row>
    <row r="1225" spans="1:8" x14ac:dyDescent="0.2">
      <c r="A1225" t="s">
        <v>14</v>
      </c>
      <c r="B1225" t="s">
        <v>271</v>
      </c>
    </row>
    <row r="1226" spans="1:8" x14ac:dyDescent="0.2">
      <c r="A1226" t="s">
        <v>16</v>
      </c>
      <c r="B1226" t="s">
        <v>15</v>
      </c>
    </row>
    <row r="1227" spans="1:8" x14ac:dyDescent="0.2">
      <c r="A1227" t="s">
        <v>17</v>
      </c>
      <c r="B1227" t="s">
        <v>107</v>
      </c>
    </row>
    <row r="1228" spans="1:8" ht="16" x14ac:dyDescent="0.2">
      <c r="A1228" s="1" t="s">
        <v>18</v>
      </c>
    </row>
    <row r="1229" spans="1:8" x14ac:dyDescent="0.2">
      <c r="A1229" t="s">
        <v>19</v>
      </c>
      <c r="B1229" t="s">
        <v>20</v>
      </c>
      <c r="C1229" t="s">
        <v>5</v>
      </c>
      <c r="D1229" t="s">
        <v>10</v>
      </c>
      <c r="E1229" t="s">
        <v>22</v>
      </c>
      <c r="F1229" t="s">
        <v>8</v>
      </c>
      <c r="G1229" t="s">
        <v>7</v>
      </c>
      <c r="H1229" t="s">
        <v>23</v>
      </c>
    </row>
    <row r="1230" spans="1:8" x14ac:dyDescent="0.2">
      <c r="A1230" t="s">
        <v>486</v>
      </c>
      <c r="B1230">
        <v>123.6666666666667</v>
      </c>
      <c r="C1230" t="s">
        <v>26</v>
      </c>
      <c r="D1230" t="s">
        <v>27</v>
      </c>
      <c r="E1230" t="s">
        <v>15</v>
      </c>
      <c r="F1230" t="s">
        <v>28</v>
      </c>
      <c r="G1230" t="s">
        <v>487</v>
      </c>
      <c r="H1230" t="s">
        <v>25</v>
      </c>
    </row>
    <row r="1231" spans="1:8" x14ac:dyDescent="0.2">
      <c r="A1231" t="s">
        <v>61</v>
      </c>
      <c r="B1231">
        <v>190</v>
      </c>
      <c r="C1231" t="s">
        <v>33</v>
      </c>
      <c r="D1231" t="s">
        <v>27</v>
      </c>
      <c r="E1231" t="s">
        <v>15</v>
      </c>
      <c r="F1231" t="s">
        <v>28</v>
      </c>
      <c r="G1231" t="s">
        <v>61</v>
      </c>
      <c r="H1231" t="s">
        <v>62</v>
      </c>
    </row>
    <row r="1232" spans="1:8" x14ac:dyDescent="0.2">
      <c r="A1232" t="s">
        <v>272</v>
      </c>
      <c r="B1232">
        <v>1900</v>
      </c>
      <c r="C1232" t="s">
        <v>33</v>
      </c>
      <c r="D1232" t="s">
        <v>27</v>
      </c>
      <c r="E1232" t="s">
        <v>15</v>
      </c>
      <c r="F1232" t="s">
        <v>28</v>
      </c>
      <c r="G1232" t="s">
        <v>273</v>
      </c>
      <c r="H1232" t="s">
        <v>62</v>
      </c>
    </row>
    <row r="1233" spans="1:8" x14ac:dyDescent="0.2">
      <c r="A1233" t="s">
        <v>274</v>
      </c>
      <c r="B1233">
        <v>319.89333945512772</v>
      </c>
      <c r="C1233" t="s">
        <v>33</v>
      </c>
      <c r="D1233" t="s">
        <v>27</v>
      </c>
      <c r="E1233" t="s">
        <v>15</v>
      </c>
      <c r="F1233" t="s">
        <v>28</v>
      </c>
      <c r="G1233" t="s">
        <v>500</v>
      </c>
      <c r="H1233" t="s">
        <v>275</v>
      </c>
    </row>
    <row r="1234" spans="1:8" x14ac:dyDescent="0.2">
      <c r="A1234" t="s">
        <v>276</v>
      </c>
      <c r="B1234">
        <v>-1833.666666666667</v>
      </c>
      <c r="C1234" t="s">
        <v>33</v>
      </c>
      <c r="D1234" t="s">
        <v>27</v>
      </c>
      <c r="E1234" t="s">
        <v>15</v>
      </c>
      <c r="F1234" t="s">
        <v>28</v>
      </c>
      <c r="G1234" t="s">
        <v>277</v>
      </c>
      <c r="H1234" t="s">
        <v>25</v>
      </c>
    </row>
    <row r="1235" spans="1:8" x14ac:dyDescent="0.2">
      <c r="A1235" t="s">
        <v>501</v>
      </c>
      <c r="B1235">
        <v>-319.89333945512772</v>
      </c>
      <c r="C1235" t="s">
        <v>33</v>
      </c>
      <c r="D1235" t="s">
        <v>27</v>
      </c>
      <c r="E1235" t="s">
        <v>15</v>
      </c>
      <c r="F1235" t="s">
        <v>28</v>
      </c>
      <c r="G1235" t="s">
        <v>502</v>
      </c>
      <c r="H1235" t="s">
        <v>25</v>
      </c>
    </row>
    <row r="1236" spans="1:8" x14ac:dyDescent="0.2">
      <c r="A1236" t="s">
        <v>409</v>
      </c>
      <c r="B1236">
        <v>1</v>
      </c>
      <c r="C1236" t="s">
        <v>26</v>
      </c>
      <c r="D1236" t="s">
        <v>10</v>
      </c>
      <c r="E1236" t="s">
        <v>15</v>
      </c>
      <c r="F1236" t="s">
        <v>24</v>
      </c>
      <c r="G1236" t="s">
        <v>69</v>
      </c>
      <c r="H1236" t="s">
        <v>25</v>
      </c>
    </row>
    <row r="1238" spans="1:8" ht="16" x14ac:dyDescent="0.2">
      <c r="A1238" s="1" t="s">
        <v>4</v>
      </c>
      <c r="B1238" s="1" t="s">
        <v>357</v>
      </c>
    </row>
    <row r="1239" spans="1:8" x14ac:dyDescent="0.2">
      <c r="A1239" t="s">
        <v>5</v>
      </c>
      <c r="B1239" t="s">
        <v>26</v>
      </c>
    </row>
    <row r="1240" spans="1:8" x14ac:dyDescent="0.2">
      <c r="A1240" t="s">
        <v>6</v>
      </c>
      <c r="B1240">
        <v>1</v>
      </c>
    </row>
    <row r="1241" spans="1:8" x14ac:dyDescent="0.2">
      <c r="A1241" t="s">
        <v>7</v>
      </c>
      <c r="B1241" t="s">
        <v>71</v>
      </c>
    </row>
    <row r="1242" spans="1:8" x14ac:dyDescent="0.2">
      <c r="A1242" t="s">
        <v>8</v>
      </c>
      <c r="B1242" t="s">
        <v>9</v>
      </c>
    </row>
    <row r="1243" spans="1:8" x14ac:dyDescent="0.2">
      <c r="A1243" t="s">
        <v>10</v>
      </c>
      <c r="B1243" t="s">
        <v>10</v>
      </c>
    </row>
    <row r="1244" spans="1:8" x14ac:dyDescent="0.2">
      <c r="A1244" t="s">
        <v>11</v>
      </c>
      <c r="B1244" t="s">
        <v>12</v>
      </c>
    </row>
    <row r="1245" spans="1:8" x14ac:dyDescent="0.2">
      <c r="A1245" t="s">
        <v>13</v>
      </c>
      <c r="B1245" t="s">
        <v>291</v>
      </c>
    </row>
    <row r="1246" spans="1:8" x14ac:dyDescent="0.2">
      <c r="A1246" t="s">
        <v>14</v>
      </c>
      <c r="B1246" t="s">
        <v>271</v>
      </c>
    </row>
    <row r="1247" spans="1:8" x14ac:dyDescent="0.2">
      <c r="A1247" t="s">
        <v>16</v>
      </c>
      <c r="B1247" t="s">
        <v>15</v>
      </c>
    </row>
    <row r="1248" spans="1:8" x14ac:dyDescent="0.2">
      <c r="A1248" t="s">
        <v>17</v>
      </c>
      <c r="B1248" t="s">
        <v>108</v>
      </c>
    </row>
    <row r="1249" spans="1:8" ht="16" x14ac:dyDescent="0.2">
      <c r="A1249" s="1" t="s">
        <v>18</v>
      </c>
    </row>
    <row r="1250" spans="1:8" x14ac:dyDescent="0.2">
      <c r="A1250" t="s">
        <v>19</v>
      </c>
      <c r="B1250" t="s">
        <v>20</v>
      </c>
      <c r="C1250" t="s">
        <v>5</v>
      </c>
      <c r="D1250" t="s">
        <v>10</v>
      </c>
      <c r="E1250" t="s">
        <v>22</v>
      </c>
      <c r="F1250" t="s">
        <v>8</v>
      </c>
      <c r="G1250" t="s">
        <v>7</v>
      </c>
      <c r="H1250" t="s">
        <v>23</v>
      </c>
    </row>
    <row r="1251" spans="1:8" x14ac:dyDescent="0.2">
      <c r="A1251" t="s">
        <v>486</v>
      </c>
      <c r="B1251">
        <v>112.30525362318841</v>
      </c>
      <c r="C1251" t="s">
        <v>26</v>
      </c>
      <c r="D1251" t="s">
        <v>27</v>
      </c>
      <c r="E1251" t="s">
        <v>15</v>
      </c>
      <c r="F1251" t="s">
        <v>28</v>
      </c>
      <c r="G1251" t="s">
        <v>487</v>
      </c>
      <c r="H1251" t="s">
        <v>25</v>
      </c>
    </row>
    <row r="1252" spans="1:8" x14ac:dyDescent="0.2">
      <c r="A1252" t="s">
        <v>61</v>
      </c>
      <c r="B1252">
        <v>196.19565217391309</v>
      </c>
      <c r="C1252" t="s">
        <v>33</v>
      </c>
      <c r="D1252" t="s">
        <v>27</v>
      </c>
      <c r="E1252" t="s">
        <v>15</v>
      </c>
      <c r="F1252" t="s">
        <v>28</v>
      </c>
      <c r="G1252" t="s">
        <v>61</v>
      </c>
      <c r="H1252" t="s">
        <v>62</v>
      </c>
    </row>
    <row r="1253" spans="1:8" x14ac:dyDescent="0.2">
      <c r="A1253" t="s">
        <v>272</v>
      </c>
      <c r="B1253">
        <v>1900</v>
      </c>
      <c r="C1253" t="s">
        <v>33</v>
      </c>
      <c r="D1253" t="s">
        <v>27</v>
      </c>
      <c r="E1253" t="s">
        <v>15</v>
      </c>
      <c r="F1253" t="s">
        <v>28</v>
      </c>
      <c r="G1253" t="s">
        <v>273</v>
      </c>
      <c r="H1253" t="s">
        <v>62</v>
      </c>
    </row>
    <row r="1254" spans="1:8" x14ac:dyDescent="0.2">
      <c r="A1254" t="s">
        <v>274</v>
      </c>
      <c r="B1254">
        <v>315.45088944139388</v>
      </c>
      <c r="C1254" t="s">
        <v>33</v>
      </c>
      <c r="D1254" t="s">
        <v>27</v>
      </c>
      <c r="E1254" t="s">
        <v>15</v>
      </c>
      <c r="F1254" t="s">
        <v>28</v>
      </c>
      <c r="G1254" t="s">
        <v>500</v>
      </c>
      <c r="H1254" t="s">
        <v>275</v>
      </c>
    </row>
    <row r="1255" spans="1:8" x14ac:dyDescent="0.2">
      <c r="A1255" t="s">
        <v>276</v>
      </c>
      <c r="B1255">
        <v>-1816.109601449275</v>
      </c>
      <c r="C1255" t="s">
        <v>33</v>
      </c>
      <c r="D1255" t="s">
        <v>27</v>
      </c>
      <c r="E1255" t="s">
        <v>15</v>
      </c>
      <c r="F1255" t="s">
        <v>28</v>
      </c>
      <c r="G1255" t="s">
        <v>277</v>
      </c>
      <c r="H1255" t="s">
        <v>25</v>
      </c>
    </row>
    <row r="1256" spans="1:8" x14ac:dyDescent="0.2">
      <c r="A1256" t="s">
        <v>501</v>
      </c>
      <c r="B1256">
        <v>-315.45088944139388</v>
      </c>
      <c r="C1256" t="s">
        <v>33</v>
      </c>
      <c r="D1256" t="s">
        <v>27</v>
      </c>
      <c r="E1256" t="s">
        <v>15</v>
      </c>
      <c r="F1256" t="s">
        <v>28</v>
      </c>
      <c r="G1256" t="s">
        <v>502</v>
      </c>
      <c r="H1256" t="s">
        <v>25</v>
      </c>
    </row>
    <row r="1257" spans="1:8" x14ac:dyDescent="0.2">
      <c r="A1257" t="s">
        <v>357</v>
      </c>
      <c r="B1257">
        <v>1</v>
      </c>
      <c r="C1257" t="s">
        <v>26</v>
      </c>
      <c r="D1257" t="s">
        <v>10</v>
      </c>
      <c r="E1257" t="s">
        <v>15</v>
      </c>
      <c r="F1257" t="s">
        <v>24</v>
      </c>
      <c r="G1257" t="s">
        <v>71</v>
      </c>
      <c r="H1257" t="s">
        <v>25</v>
      </c>
    </row>
    <row r="1259" spans="1:8" ht="16" x14ac:dyDescent="0.2">
      <c r="A1259" s="1" t="s">
        <v>4</v>
      </c>
      <c r="B1259" s="1" t="s">
        <v>301</v>
      </c>
    </row>
    <row r="1260" spans="1:8" x14ac:dyDescent="0.2">
      <c r="A1260" t="s">
        <v>5</v>
      </c>
      <c r="B1260" t="s">
        <v>26</v>
      </c>
    </row>
    <row r="1261" spans="1:8" x14ac:dyDescent="0.2">
      <c r="A1261" t="s">
        <v>6</v>
      </c>
      <c r="B1261">
        <v>1</v>
      </c>
    </row>
    <row r="1262" spans="1:8" x14ac:dyDescent="0.2">
      <c r="A1262" t="s">
        <v>7</v>
      </c>
      <c r="B1262" t="s">
        <v>73</v>
      </c>
    </row>
    <row r="1263" spans="1:8" x14ac:dyDescent="0.2">
      <c r="A1263" t="s">
        <v>8</v>
      </c>
      <c r="B1263" t="s">
        <v>9</v>
      </c>
    </row>
    <row r="1264" spans="1:8" x14ac:dyDescent="0.2">
      <c r="A1264" t="s">
        <v>10</v>
      </c>
      <c r="B1264" t="s">
        <v>10</v>
      </c>
    </row>
    <row r="1265" spans="1:8" x14ac:dyDescent="0.2">
      <c r="A1265" t="s">
        <v>11</v>
      </c>
      <c r="B1265" t="s">
        <v>12</v>
      </c>
    </row>
    <row r="1266" spans="1:8" x14ac:dyDescent="0.2">
      <c r="A1266" t="s">
        <v>13</v>
      </c>
      <c r="B1266" t="s">
        <v>291</v>
      </c>
    </row>
    <row r="1267" spans="1:8" x14ac:dyDescent="0.2">
      <c r="A1267" t="s">
        <v>14</v>
      </c>
      <c r="B1267" t="s">
        <v>271</v>
      </c>
    </row>
    <row r="1268" spans="1:8" x14ac:dyDescent="0.2">
      <c r="A1268" t="s">
        <v>16</v>
      </c>
      <c r="B1268" t="s">
        <v>15</v>
      </c>
    </row>
    <row r="1269" spans="1:8" x14ac:dyDescent="0.2">
      <c r="A1269" t="s">
        <v>17</v>
      </c>
      <c r="B1269" t="s">
        <v>109</v>
      </c>
    </row>
    <row r="1270" spans="1:8" ht="16" x14ac:dyDescent="0.2">
      <c r="A1270" s="1" t="s">
        <v>18</v>
      </c>
    </row>
    <row r="1271" spans="1:8" x14ac:dyDescent="0.2">
      <c r="A1271" t="s">
        <v>19</v>
      </c>
      <c r="B1271" t="s">
        <v>20</v>
      </c>
      <c r="C1271" t="s">
        <v>5</v>
      </c>
      <c r="D1271" t="s">
        <v>10</v>
      </c>
      <c r="E1271" t="s">
        <v>22</v>
      </c>
      <c r="F1271" t="s">
        <v>8</v>
      </c>
      <c r="G1271" t="s">
        <v>7</v>
      </c>
      <c r="H1271" t="s">
        <v>23</v>
      </c>
    </row>
    <row r="1272" spans="1:8" x14ac:dyDescent="0.2">
      <c r="A1272" t="s">
        <v>486</v>
      </c>
      <c r="B1272">
        <v>100.9438405797102</v>
      </c>
      <c r="C1272" t="s">
        <v>26</v>
      </c>
      <c r="D1272" t="s">
        <v>27</v>
      </c>
      <c r="E1272" t="s">
        <v>15</v>
      </c>
      <c r="F1272" t="s">
        <v>28</v>
      </c>
      <c r="G1272" t="s">
        <v>487</v>
      </c>
      <c r="H1272" t="s">
        <v>25</v>
      </c>
    </row>
    <row r="1273" spans="1:8" x14ac:dyDescent="0.2">
      <c r="A1273" t="s">
        <v>61</v>
      </c>
      <c r="B1273">
        <v>202.39130434782609</v>
      </c>
      <c r="C1273" t="s">
        <v>33</v>
      </c>
      <c r="D1273" t="s">
        <v>27</v>
      </c>
      <c r="E1273" t="s">
        <v>15</v>
      </c>
      <c r="F1273" t="s">
        <v>28</v>
      </c>
      <c r="G1273" t="s">
        <v>61</v>
      </c>
      <c r="H1273" t="s">
        <v>62</v>
      </c>
    </row>
    <row r="1274" spans="1:8" x14ac:dyDescent="0.2">
      <c r="A1274" t="s">
        <v>272</v>
      </c>
      <c r="B1274">
        <v>1900</v>
      </c>
      <c r="C1274" t="s">
        <v>33</v>
      </c>
      <c r="D1274" t="s">
        <v>27</v>
      </c>
      <c r="E1274" t="s">
        <v>15</v>
      </c>
      <c r="F1274" t="s">
        <v>28</v>
      </c>
      <c r="G1274" t="s">
        <v>273</v>
      </c>
      <c r="H1274" t="s">
        <v>62</v>
      </c>
    </row>
    <row r="1275" spans="1:8" x14ac:dyDescent="0.2">
      <c r="A1275" t="s">
        <v>274</v>
      </c>
      <c r="B1275">
        <v>311.03612722171761</v>
      </c>
      <c r="C1275" t="s">
        <v>33</v>
      </c>
      <c r="D1275" t="s">
        <v>27</v>
      </c>
      <c r="E1275" t="s">
        <v>15</v>
      </c>
      <c r="F1275" t="s">
        <v>28</v>
      </c>
      <c r="G1275" t="s">
        <v>500</v>
      </c>
      <c r="H1275" t="s">
        <v>275</v>
      </c>
    </row>
    <row r="1276" spans="1:8" x14ac:dyDescent="0.2">
      <c r="A1276" t="s">
        <v>276</v>
      </c>
      <c r="B1276">
        <v>-1798.552536231884</v>
      </c>
      <c r="C1276" t="s">
        <v>33</v>
      </c>
      <c r="D1276" t="s">
        <v>27</v>
      </c>
      <c r="E1276" t="s">
        <v>15</v>
      </c>
      <c r="F1276" t="s">
        <v>28</v>
      </c>
      <c r="G1276" t="s">
        <v>277</v>
      </c>
      <c r="H1276" t="s">
        <v>25</v>
      </c>
    </row>
    <row r="1277" spans="1:8" x14ac:dyDescent="0.2">
      <c r="A1277" t="s">
        <v>501</v>
      </c>
      <c r="B1277">
        <v>-311.03612722171761</v>
      </c>
      <c r="C1277" t="s">
        <v>33</v>
      </c>
      <c r="D1277" t="s">
        <v>27</v>
      </c>
      <c r="E1277" t="s">
        <v>15</v>
      </c>
      <c r="F1277" t="s">
        <v>28</v>
      </c>
      <c r="G1277" t="s">
        <v>502</v>
      </c>
      <c r="H1277" t="s">
        <v>25</v>
      </c>
    </row>
    <row r="1278" spans="1:8" x14ac:dyDescent="0.2">
      <c r="A1278" t="s">
        <v>301</v>
      </c>
      <c r="B1278">
        <v>1</v>
      </c>
      <c r="C1278" t="s">
        <v>26</v>
      </c>
      <c r="D1278" t="s">
        <v>10</v>
      </c>
      <c r="E1278" t="s">
        <v>15</v>
      </c>
      <c r="F1278" t="s">
        <v>24</v>
      </c>
      <c r="G1278" t="s">
        <v>73</v>
      </c>
      <c r="H1278" t="s">
        <v>25</v>
      </c>
    </row>
    <row r="1281" spans="1:8" ht="16" x14ac:dyDescent="0.2">
      <c r="A1281" s="1" t="s">
        <v>4</v>
      </c>
      <c r="B1281" s="1" t="s">
        <v>358</v>
      </c>
    </row>
    <row r="1282" spans="1:8" x14ac:dyDescent="0.2">
      <c r="A1282" t="s">
        <v>5</v>
      </c>
      <c r="B1282" t="s">
        <v>26</v>
      </c>
    </row>
    <row r="1283" spans="1:8" x14ac:dyDescent="0.2">
      <c r="A1283" t="s">
        <v>6</v>
      </c>
      <c r="B1283">
        <v>1</v>
      </c>
    </row>
    <row r="1284" spans="1:8" x14ac:dyDescent="0.2">
      <c r="A1284" t="s">
        <v>7</v>
      </c>
      <c r="B1284" t="s">
        <v>71</v>
      </c>
    </row>
    <row r="1285" spans="1:8" x14ac:dyDescent="0.2">
      <c r="A1285" t="s">
        <v>8</v>
      </c>
      <c r="B1285" t="s">
        <v>9</v>
      </c>
    </row>
    <row r="1286" spans="1:8" x14ac:dyDescent="0.2">
      <c r="A1286" t="s">
        <v>10</v>
      </c>
      <c r="B1286" t="s">
        <v>10</v>
      </c>
    </row>
    <row r="1287" spans="1:8" x14ac:dyDescent="0.2">
      <c r="A1287" t="s">
        <v>11</v>
      </c>
      <c r="B1287" t="s">
        <v>12</v>
      </c>
    </row>
    <row r="1288" spans="1:8" x14ac:dyDescent="0.2">
      <c r="A1288" t="s">
        <v>13</v>
      </c>
      <c r="B1288" t="s">
        <v>291</v>
      </c>
    </row>
    <row r="1289" spans="1:8" x14ac:dyDescent="0.2">
      <c r="A1289" t="s">
        <v>14</v>
      </c>
      <c r="B1289" t="s">
        <v>271</v>
      </c>
    </row>
    <row r="1290" spans="1:8" x14ac:dyDescent="0.2">
      <c r="A1290" t="s">
        <v>16</v>
      </c>
      <c r="B1290" t="s">
        <v>15</v>
      </c>
    </row>
    <row r="1291" spans="1:8" x14ac:dyDescent="0.2">
      <c r="A1291" t="s">
        <v>17</v>
      </c>
      <c r="B1291" t="s">
        <v>110</v>
      </c>
    </row>
    <row r="1292" spans="1:8" ht="16" x14ac:dyDescent="0.2">
      <c r="A1292" s="1" t="s">
        <v>18</v>
      </c>
    </row>
    <row r="1293" spans="1:8" x14ac:dyDescent="0.2">
      <c r="A1293" t="s">
        <v>19</v>
      </c>
      <c r="B1293" t="s">
        <v>20</v>
      </c>
      <c r="C1293" t="s">
        <v>5</v>
      </c>
      <c r="D1293" t="s">
        <v>10</v>
      </c>
      <c r="E1293" t="s">
        <v>22</v>
      </c>
      <c r="F1293" t="s">
        <v>8</v>
      </c>
      <c r="G1293" t="s">
        <v>7</v>
      </c>
      <c r="H1293" t="s">
        <v>23</v>
      </c>
    </row>
    <row r="1294" spans="1:8" x14ac:dyDescent="0.2">
      <c r="A1294" t="s">
        <v>610</v>
      </c>
      <c r="B1294">
        <f>56</f>
        <v>56</v>
      </c>
      <c r="C1294" t="s">
        <v>33</v>
      </c>
      <c r="D1294" t="s">
        <v>39</v>
      </c>
      <c r="F1294" t="s">
        <v>28</v>
      </c>
      <c r="G1294" t="s">
        <v>611</v>
      </c>
      <c r="H1294" t="s">
        <v>34</v>
      </c>
    </row>
    <row r="1295" spans="1:8" x14ac:dyDescent="0.2">
      <c r="A1295" t="s">
        <v>61</v>
      </c>
      <c r="B1295">
        <v>201.55672666855079</v>
      </c>
      <c r="C1295" t="s">
        <v>33</v>
      </c>
      <c r="D1295" t="s">
        <v>27</v>
      </c>
      <c r="E1295" t="s">
        <v>15</v>
      </c>
      <c r="F1295" t="s">
        <v>28</v>
      </c>
      <c r="G1295" t="s">
        <v>61</v>
      </c>
      <c r="H1295" t="s">
        <v>62</v>
      </c>
    </row>
    <row r="1296" spans="1:8" x14ac:dyDescent="0.2">
      <c r="A1296" t="s">
        <v>283</v>
      </c>
      <c r="B1296">
        <v>5.9804347826086959</v>
      </c>
      <c r="C1296" t="s">
        <v>33</v>
      </c>
      <c r="D1296" t="s">
        <v>27</v>
      </c>
      <c r="E1296" t="s">
        <v>15</v>
      </c>
      <c r="F1296" t="s">
        <v>28</v>
      </c>
      <c r="G1296" t="s">
        <v>284</v>
      </c>
      <c r="H1296" t="s">
        <v>34</v>
      </c>
    </row>
    <row r="1297" spans="1:8" x14ac:dyDescent="0.2">
      <c r="A1297" t="s">
        <v>285</v>
      </c>
      <c r="B1297">
        <v>4.4853260869565217</v>
      </c>
      <c r="C1297" t="s">
        <v>33</v>
      </c>
      <c r="D1297" t="s">
        <v>27</v>
      </c>
      <c r="E1297" t="s">
        <v>15</v>
      </c>
      <c r="F1297" t="s">
        <v>28</v>
      </c>
      <c r="G1297" t="s">
        <v>286</v>
      </c>
      <c r="H1297" t="s">
        <v>34</v>
      </c>
    </row>
    <row r="1298" spans="1:8" x14ac:dyDescent="0.2">
      <c r="A1298" t="s">
        <v>278</v>
      </c>
      <c r="B1298">
        <v>56.784071499838838</v>
      </c>
      <c r="C1298" t="s">
        <v>33</v>
      </c>
      <c r="D1298" t="s">
        <v>27</v>
      </c>
      <c r="E1298" t="s">
        <v>15</v>
      </c>
      <c r="F1298" t="s">
        <v>28</v>
      </c>
      <c r="G1298" t="s">
        <v>279</v>
      </c>
      <c r="H1298" t="s">
        <v>275</v>
      </c>
    </row>
    <row r="1299" spans="1:8" x14ac:dyDescent="0.2">
      <c r="A1299" t="s">
        <v>272</v>
      </c>
      <c r="B1299">
        <v>1951.9177740533339</v>
      </c>
      <c r="C1299" t="s">
        <v>33</v>
      </c>
      <c r="D1299" t="s">
        <v>27</v>
      </c>
      <c r="E1299" t="s">
        <v>15</v>
      </c>
      <c r="F1299" t="s">
        <v>28</v>
      </c>
      <c r="G1299" t="s">
        <v>273</v>
      </c>
      <c r="H1299" t="s">
        <v>62</v>
      </c>
    </row>
    <row r="1300" spans="1:8" x14ac:dyDescent="0.2">
      <c r="A1300" t="s">
        <v>274</v>
      </c>
      <c r="B1300">
        <v>342.02144691640359</v>
      </c>
      <c r="C1300" t="s">
        <v>33</v>
      </c>
      <c r="D1300" t="s">
        <v>27</v>
      </c>
      <c r="E1300" t="s">
        <v>15</v>
      </c>
      <c r="F1300" t="s">
        <v>28</v>
      </c>
      <c r="G1300" t="s">
        <v>500</v>
      </c>
      <c r="H1300" t="s">
        <v>275</v>
      </c>
    </row>
    <row r="1301" spans="1:8" x14ac:dyDescent="0.2">
      <c r="A1301" t="s">
        <v>287</v>
      </c>
      <c r="B1301">
        <v>8.9706521739130434</v>
      </c>
      <c r="C1301" t="s">
        <v>33</v>
      </c>
      <c r="D1301" t="s">
        <v>27</v>
      </c>
      <c r="E1301" t="s">
        <v>15</v>
      </c>
      <c r="F1301" t="s">
        <v>28</v>
      </c>
      <c r="G1301" t="s">
        <v>288</v>
      </c>
      <c r="H1301" t="s">
        <v>34</v>
      </c>
    </row>
    <row r="1302" spans="1:8" x14ac:dyDescent="0.2">
      <c r="A1302" t="s">
        <v>289</v>
      </c>
      <c r="B1302">
        <v>3.9869565217391298</v>
      </c>
      <c r="C1302" t="s">
        <v>33</v>
      </c>
      <c r="D1302" t="s">
        <v>27</v>
      </c>
      <c r="E1302" t="s">
        <v>15</v>
      </c>
      <c r="F1302" t="s">
        <v>28</v>
      </c>
      <c r="G1302" t="s">
        <v>290</v>
      </c>
      <c r="H1302" t="s">
        <v>34</v>
      </c>
    </row>
    <row r="1303" spans="1:8" x14ac:dyDescent="0.2">
      <c r="A1303" t="s">
        <v>280</v>
      </c>
      <c r="B1303">
        <v>-80.20744106505623</v>
      </c>
      <c r="C1303" t="s">
        <v>33</v>
      </c>
      <c r="D1303" t="s">
        <v>27</v>
      </c>
      <c r="E1303" t="s">
        <v>15</v>
      </c>
      <c r="F1303" t="s">
        <v>28</v>
      </c>
      <c r="G1303" t="s">
        <v>281</v>
      </c>
      <c r="H1303" t="s">
        <v>282</v>
      </c>
    </row>
    <row r="1304" spans="1:8" x14ac:dyDescent="0.2">
      <c r="A1304" t="s">
        <v>60</v>
      </c>
      <c r="B1304">
        <v>42.952083333333327</v>
      </c>
      <c r="C1304" t="s">
        <v>26</v>
      </c>
      <c r="D1304" t="s">
        <v>27</v>
      </c>
      <c r="E1304" t="s">
        <v>15</v>
      </c>
      <c r="F1304" t="s">
        <v>28</v>
      </c>
      <c r="G1304" t="s">
        <v>54</v>
      </c>
      <c r="H1304" t="s">
        <v>34</v>
      </c>
    </row>
    <row r="1305" spans="1:8" x14ac:dyDescent="0.2">
      <c r="A1305" t="s">
        <v>276</v>
      </c>
      <c r="B1305">
        <v>-1793.313130718117</v>
      </c>
      <c r="C1305" t="s">
        <v>33</v>
      </c>
      <c r="D1305" t="s">
        <v>27</v>
      </c>
      <c r="E1305" t="s">
        <v>15</v>
      </c>
      <c r="F1305" t="s">
        <v>28</v>
      </c>
      <c r="G1305" t="s">
        <v>277</v>
      </c>
      <c r="H1305" t="s">
        <v>25</v>
      </c>
    </row>
    <row r="1306" spans="1:8" x14ac:dyDescent="0.2">
      <c r="A1306" t="s">
        <v>501</v>
      </c>
      <c r="B1306">
        <v>-342.02144691640359</v>
      </c>
      <c r="C1306" t="s">
        <v>33</v>
      </c>
      <c r="D1306" t="s">
        <v>27</v>
      </c>
      <c r="E1306" t="s">
        <v>15</v>
      </c>
      <c r="F1306" t="s">
        <v>28</v>
      </c>
      <c r="G1306" t="s">
        <v>502</v>
      </c>
      <c r="H1306" t="s">
        <v>25</v>
      </c>
    </row>
    <row r="1307" spans="1:8" x14ac:dyDescent="0.2">
      <c r="A1307" t="s">
        <v>56</v>
      </c>
      <c r="B1307">
        <v>336.42717586560309</v>
      </c>
      <c r="C1307" t="s">
        <v>63</v>
      </c>
      <c r="D1307" t="s">
        <v>39</v>
      </c>
      <c r="E1307" t="s">
        <v>15</v>
      </c>
      <c r="F1307" t="s">
        <v>28</v>
      </c>
      <c r="G1307" t="s">
        <v>58</v>
      </c>
      <c r="H1307" t="s">
        <v>34</v>
      </c>
    </row>
    <row r="1308" spans="1:8" x14ac:dyDescent="0.2">
      <c r="A1308" t="s">
        <v>358</v>
      </c>
      <c r="B1308">
        <v>1</v>
      </c>
      <c r="C1308" t="s">
        <v>26</v>
      </c>
      <c r="D1308" t="s">
        <v>10</v>
      </c>
      <c r="E1308" t="s">
        <v>15</v>
      </c>
      <c r="F1308" t="s">
        <v>24</v>
      </c>
      <c r="G1308" t="s">
        <v>71</v>
      </c>
      <c r="H1308" t="s">
        <v>25</v>
      </c>
    </row>
    <row r="1310" spans="1:8" ht="16" x14ac:dyDescent="0.2">
      <c r="A1310" s="1" t="s">
        <v>4</v>
      </c>
      <c r="B1310" s="1" t="s">
        <v>302</v>
      </c>
    </row>
    <row r="1311" spans="1:8" x14ac:dyDescent="0.2">
      <c r="A1311" t="s">
        <v>5</v>
      </c>
      <c r="B1311" t="s">
        <v>26</v>
      </c>
    </row>
    <row r="1312" spans="1:8" x14ac:dyDescent="0.2">
      <c r="A1312" t="s">
        <v>6</v>
      </c>
      <c r="B1312">
        <v>1</v>
      </c>
    </row>
    <row r="1313" spans="1:8" x14ac:dyDescent="0.2">
      <c r="A1313" t="s">
        <v>7</v>
      </c>
      <c r="B1313" t="s">
        <v>73</v>
      </c>
    </row>
    <row r="1314" spans="1:8" x14ac:dyDescent="0.2">
      <c r="A1314" t="s">
        <v>8</v>
      </c>
      <c r="B1314" t="s">
        <v>9</v>
      </c>
    </row>
    <row r="1315" spans="1:8" x14ac:dyDescent="0.2">
      <c r="A1315" t="s">
        <v>10</v>
      </c>
      <c r="B1315" t="s">
        <v>10</v>
      </c>
    </row>
    <row r="1316" spans="1:8" x14ac:dyDescent="0.2">
      <c r="A1316" t="s">
        <v>11</v>
      </c>
      <c r="B1316" t="s">
        <v>12</v>
      </c>
    </row>
    <row r="1317" spans="1:8" x14ac:dyDescent="0.2">
      <c r="A1317" t="s">
        <v>13</v>
      </c>
      <c r="B1317" t="s">
        <v>291</v>
      </c>
    </row>
    <row r="1318" spans="1:8" x14ac:dyDescent="0.2">
      <c r="A1318" t="s">
        <v>14</v>
      </c>
      <c r="B1318" t="s">
        <v>271</v>
      </c>
    </row>
    <row r="1319" spans="1:8" x14ac:dyDescent="0.2">
      <c r="A1319" t="s">
        <v>16</v>
      </c>
      <c r="B1319" t="s">
        <v>15</v>
      </c>
    </row>
    <row r="1320" spans="1:8" x14ac:dyDescent="0.2">
      <c r="A1320" t="s">
        <v>17</v>
      </c>
      <c r="B1320" t="s">
        <v>111</v>
      </c>
    </row>
    <row r="1321" spans="1:8" ht="16" x14ac:dyDescent="0.2">
      <c r="A1321" s="1" t="s">
        <v>18</v>
      </c>
    </row>
    <row r="1322" spans="1:8" x14ac:dyDescent="0.2">
      <c r="A1322" t="s">
        <v>19</v>
      </c>
      <c r="B1322" t="s">
        <v>20</v>
      </c>
      <c r="C1322" t="s">
        <v>5</v>
      </c>
      <c r="D1322" t="s">
        <v>10</v>
      </c>
      <c r="E1322" t="s">
        <v>22</v>
      </c>
      <c r="F1322" t="s">
        <v>8</v>
      </c>
      <c r="G1322" t="s">
        <v>7</v>
      </c>
      <c r="H1322" t="s">
        <v>23</v>
      </c>
    </row>
    <row r="1323" spans="1:8" x14ac:dyDescent="0.2">
      <c r="A1323" t="s">
        <v>610</v>
      </c>
      <c r="B1323">
        <f>72</f>
        <v>72</v>
      </c>
      <c r="C1323" t="s">
        <v>33</v>
      </c>
      <c r="D1323" t="s">
        <v>39</v>
      </c>
      <c r="F1323" t="s">
        <v>28</v>
      </c>
      <c r="G1323" t="s">
        <v>611</v>
      </c>
      <c r="H1323" t="s">
        <v>34</v>
      </c>
    </row>
    <row r="1324" spans="1:8" x14ac:dyDescent="0.2">
      <c r="A1324" t="s">
        <v>61</v>
      </c>
      <c r="B1324">
        <v>209.5654015275679</v>
      </c>
      <c r="C1324" t="s">
        <v>33</v>
      </c>
      <c r="D1324" t="s">
        <v>27</v>
      </c>
      <c r="E1324" t="s">
        <v>15</v>
      </c>
      <c r="F1324" t="s">
        <v>28</v>
      </c>
      <c r="G1324" t="s">
        <v>61</v>
      </c>
      <c r="H1324" t="s">
        <v>62</v>
      </c>
    </row>
    <row r="1325" spans="1:8" x14ac:dyDescent="0.2">
      <c r="A1325" t="s">
        <v>283</v>
      </c>
      <c r="B1325">
        <v>5.9608695652173918</v>
      </c>
      <c r="C1325" t="s">
        <v>33</v>
      </c>
      <c r="D1325" t="s">
        <v>27</v>
      </c>
      <c r="E1325" t="s">
        <v>15</v>
      </c>
      <c r="F1325" t="s">
        <v>28</v>
      </c>
      <c r="G1325" t="s">
        <v>284</v>
      </c>
      <c r="H1325" t="s">
        <v>34</v>
      </c>
    </row>
    <row r="1326" spans="1:8" x14ac:dyDescent="0.2">
      <c r="A1326" t="s">
        <v>285</v>
      </c>
      <c r="B1326">
        <v>4.4706521739130434</v>
      </c>
      <c r="C1326" t="s">
        <v>33</v>
      </c>
      <c r="D1326" t="s">
        <v>27</v>
      </c>
      <c r="E1326" t="s">
        <v>15</v>
      </c>
      <c r="F1326" t="s">
        <v>28</v>
      </c>
      <c r="G1326" t="s">
        <v>286</v>
      </c>
      <c r="H1326" t="s">
        <v>34</v>
      </c>
    </row>
    <row r="1327" spans="1:8" x14ac:dyDescent="0.2">
      <c r="A1327" t="s">
        <v>278</v>
      </c>
      <c r="B1327">
        <v>73.115133229066814</v>
      </c>
      <c r="C1327" t="s">
        <v>33</v>
      </c>
      <c r="D1327" t="s">
        <v>27</v>
      </c>
      <c r="E1327" t="s">
        <v>15</v>
      </c>
      <c r="F1327" t="s">
        <v>28</v>
      </c>
      <c r="G1327" t="s">
        <v>279</v>
      </c>
      <c r="H1327" t="s">
        <v>275</v>
      </c>
    </row>
    <row r="1328" spans="1:8" x14ac:dyDescent="0.2">
      <c r="A1328" t="s">
        <v>272</v>
      </c>
      <c r="B1328">
        <v>1967.3486674016569</v>
      </c>
      <c r="C1328" t="s">
        <v>33</v>
      </c>
      <c r="D1328" t="s">
        <v>27</v>
      </c>
      <c r="E1328" t="s">
        <v>15</v>
      </c>
      <c r="F1328" t="s">
        <v>28</v>
      </c>
      <c r="G1328" t="s">
        <v>273</v>
      </c>
      <c r="H1328" t="s">
        <v>62</v>
      </c>
    </row>
    <row r="1329" spans="1:8" x14ac:dyDescent="0.2">
      <c r="A1329" t="s">
        <v>274</v>
      </c>
      <c r="B1329">
        <v>318.57081236081791</v>
      </c>
      <c r="C1329" t="s">
        <v>33</v>
      </c>
      <c r="D1329" t="s">
        <v>27</v>
      </c>
      <c r="E1329" t="s">
        <v>15</v>
      </c>
      <c r="F1329" t="s">
        <v>28</v>
      </c>
      <c r="G1329" t="s">
        <v>500</v>
      </c>
      <c r="H1329" t="s">
        <v>275</v>
      </c>
    </row>
    <row r="1330" spans="1:8" x14ac:dyDescent="0.2">
      <c r="A1330" t="s">
        <v>287</v>
      </c>
      <c r="B1330">
        <v>8.9413043478260867</v>
      </c>
      <c r="C1330" t="s">
        <v>33</v>
      </c>
      <c r="D1330" t="s">
        <v>27</v>
      </c>
      <c r="E1330" t="s">
        <v>15</v>
      </c>
      <c r="F1330" t="s">
        <v>28</v>
      </c>
      <c r="G1330" t="s">
        <v>288</v>
      </c>
      <c r="H1330" t="s">
        <v>34</v>
      </c>
    </row>
    <row r="1331" spans="1:8" x14ac:dyDescent="0.2">
      <c r="A1331" t="s">
        <v>289</v>
      </c>
      <c r="B1331">
        <v>3.973913043478261</v>
      </c>
      <c r="C1331" t="s">
        <v>33</v>
      </c>
      <c r="D1331" t="s">
        <v>27</v>
      </c>
      <c r="E1331" t="s">
        <v>15</v>
      </c>
      <c r="F1331" t="s">
        <v>28</v>
      </c>
      <c r="G1331" t="s">
        <v>290</v>
      </c>
      <c r="H1331" t="s">
        <v>34</v>
      </c>
    </row>
    <row r="1332" spans="1:8" x14ac:dyDescent="0.2">
      <c r="A1332" t="s">
        <v>280</v>
      </c>
      <c r="B1332">
        <v>-96.461872359501598</v>
      </c>
      <c r="C1332" t="s">
        <v>33</v>
      </c>
      <c r="D1332" t="s">
        <v>27</v>
      </c>
      <c r="E1332" t="s">
        <v>15</v>
      </c>
      <c r="F1332" t="s">
        <v>28</v>
      </c>
      <c r="G1332" t="s">
        <v>281</v>
      </c>
      <c r="H1332" t="s">
        <v>282</v>
      </c>
    </row>
    <row r="1333" spans="1:8" x14ac:dyDescent="0.2">
      <c r="A1333" t="s">
        <v>60</v>
      </c>
      <c r="B1333">
        <v>48.80416666666666</v>
      </c>
      <c r="C1333" t="s">
        <v>26</v>
      </c>
      <c r="D1333" t="s">
        <v>27</v>
      </c>
      <c r="E1333" t="s">
        <v>15</v>
      </c>
      <c r="F1333" t="s">
        <v>28</v>
      </c>
      <c r="G1333" t="s">
        <v>54</v>
      </c>
      <c r="H1333" t="s">
        <v>34</v>
      </c>
    </row>
    <row r="1334" spans="1:8" x14ac:dyDescent="0.2">
      <c r="A1334" t="s">
        <v>276</v>
      </c>
      <c r="B1334">
        <v>-1806.587432540756</v>
      </c>
      <c r="C1334" t="s">
        <v>33</v>
      </c>
      <c r="D1334" t="s">
        <v>27</v>
      </c>
      <c r="E1334" t="s">
        <v>15</v>
      </c>
      <c r="F1334" t="s">
        <v>28</v>
      </c>
      <c r="G1334" t="s">
        <v>277</v>
      </c>
      <c r="H1334" t="s">
        <v>25</v>
      </c>
    </row>
    <row r="1335" spans="1:8" x14ac:dyDescent="0.2">
      <c r="A1335" t="s">
        <v>501</v>
      </c>
      <c r="B1335">
        <v>-318.57081236081791</v>
      </c>
      <c r="C1335" t="s">
        <v>33</v>
      </c>
      <c r="D1335" t="s">
        <v>27</v>
      </c>
      <c r="E1335" t="s">
        <v>15</v>
      </c>
      <c r="F1335" t="s">
        <v>28</v>
      </c>
      <c r="G1335" t="s">
        <v>502</v>
      </c>
      <c r="H1335" t="s">
        <v>25</v>
      </c>
    </row>
    <row r="1336" spans="1:8" x14ac:dyDescent="0.2">
      <c r="A1336" t="s">
        <v>56</v>
      </c>
      <c r="B1336">
        <v>290.94624317515883</v>
      </c>
      <c r="C1336" t="s">
        <v>63</v>
      </c>
      <c r="D1336" t="s">
        <v>39</v>
      </c>
      <c r="E1336" t="s">
        <v>15</v>
      </c>
      <c r="F1336" t="s">
        <v>28</v>
      </c>
      <c r="G1336" t="s">
        <v>58</v>
      </c>
      <c r="H1336" t="s">
        <v>34</v>
      </c>
    </row>
    <row r="1337" spans="1:8" x14ac:dyDescent="0.2">
      <c r="A1337" t="s">
        <v>302</v>
      </c>
      <c r="B1337">
        <v>1</v>
      </c>
      <c r="C1337" t="s">
        <v>26</v>
      </c>
      <c r="D1337" t="s">
        <v>10</v>
      </c>
      <c r="E1337" t="s">
        <v>15</v>
      </c>
      <c r="F1337" t="s">
        <v>24</v>
      </c>
      <c r="G1337" t="s">
        <v>73</v>
      </c>
      <c r="H1337" t="s">
        <v>25</v>
      </c>
    </row>
    <row r="1340" spans="1:8" ht="16" x14ac:dyDescent="0.2">
      <c r="A1340" s="1" t="s">
        <v>4</v>
      </c>
      <c r="B1340" s="1" t="s">
        <v>359</v>
      </c>
    </row>
    <row r="1341" spans="1:8" x14ac:dyDescent="0.2">
      <c r="A1341" t="s">
        <v>5</v>
      </c>
      <c r="B1341" t="s">
        <v>26</v>
      </c>
    </row>
    <row r="1342" spans="1:8" x14ac:dyDescent="0.2">
      <c r="A1342" t="s">
        <v>6</v>
      </c>
      <c r="B1342">
        <v>1</v>
      </c>
    </row>
    <row r="1343" spans="1:8" x14ac:dyDescent="0.2">
      <c r="A1343" t="s">
        <v>7</v>
      </c>
      <c r="B1343" t="s">
        <v>71</v>
      </c>
    </row>
    <row r="1344" spans="1:8" x14ac:dyDescent="0.2">
      <c r="A1344" t="s">
        <v>8</v>
      </c>
      <c r="B1344" t="s">
        <v>9</v>
      </c>
    </row>
    <row r="1345" spans="1:8" x14ac:dyDescent="0.2">
      <c r="A1345" t="s">
        <v>10</v>
      </c>
      <c r="B1345" t="s">
        <v>10</v>
      </c>
    </row>
    <row r="1346" spans="1:8" x14ac:dyDescent="0.2">
      <c r="A1346" t="s">
        <v>11</v>
      </c>
      <c r="B1346" t="s">
        <v>12</v>
      </c>
    </row>
    <row r="1347" spans="1:8" x14ac:dyDescent="0.2">
      <c r="A1347" t="s">
        <v>13</v>
      </c>
      <c r="B1347" t="s">
        <v>291</v>
      </c>
    </row>
    <row r="1348" spans="1:8" x14ac:dyDescent="0.2">
      <c r="A1348" t="s">
        <v>14</v>
      </c>
      <c r="B1348" t="s">
        <v>271</v>
      </c>
    </row>
    <row r="1349" spans="1:8" x14ac:dyDescent="0.2">
      <c r="A1349" t="s">
        <v>16</v>
      </c>
      <c r="B1349" t="s">
        <v>15</v>
      </c>
    </row>
    <row r="1350" spans="1:8" x14ac:dyDescent="0.2">
      <c r="A1350" t="s">
        <v>17</v>
      </c>
      <c r="B1350" t="s">
        <v>112</v>
      </c>
    </row>
    <row r="1351" spans="1:8" ht="16" x14ac:dyDescent="0.2">
      <c r="A1351" s="1" t="s">
        <v>18</v>
      </c>
    </row>
    <row r="1352" spans="1:8" x14ac:dyDescent="0.2">
      <c r="A1352" t="s">
        <v>19</v>
      </c>
      <c r="B1352" t="s">
        <v>20</v>
      </c>
      <c r="C1352" t="s">
        <v>5</v>
      </c>
      <c r="D1352" t="s">
        <v>10</v>
      </c>
      <c r="E1352" t="s">
        <v>22</v>
      </c>
      <c r="F1352" t="s">
        <v>8</v>
      </c>
      <c r="G1352" t="s">
        <v>7</v>
      </c>
      <c r="H1352" t="s">
        <v>23</v>
      </c>
    </row>
    <row r="1353" spans="1:8" x14ac:dyDescent="0.2">
      <c r="A1353" t="s">
        <v>610</v>
      </c>
      <c r="B1353">
        <f>56</f>
        <v>56</v>
      </c>
      <c r="C1353" t="s">
        <v>33</v>
      </c>
      <c r="D1353" t="s">
        <v>39</v>
      </c>
      <c r="F1353" t="s">
        <v>28</v>
      </c>
      <c r="G1353" t="s">
        <v>611</v>
      </c>
      <c r="H1353" t="s">
        <v>34</v>
      </c>
    </row>
    <row r="1354" spans="1:8" x14ac:dyDescent="0.2">
      <c r="A1354" t="s">
        <v>61</v>
      </c>
      <c r="B1354">
        <v>201.55672666855079</v>
      </c>
      <c r="C1354" t="s">
        <v>33</v>
      </c>
      <c r="D1354" t="s">
        <v>27</v>
      </c>
      <c r="E1354" t="s">
        <v>15</v>
      </c>
      <c r="F1354" t="s">
        <v>28</v>
      </c>
      <c r="G1354" t="s">
        <v>61</v>
      </c>
      <c r="H1354" t="s">
        <v>62</v>
      </c>
    </row>
    <row r="1355" spans="1:8" x14ac:dyDescent="0.2">
      <c r="A1355" t="s">
        <v>283</v>
      </c>
      <c r="B1355">
        <v>5.9804347826086959</v>
      </c>
      <c r="C1355" t="s">
        <v>33</v>
      </c>
      <c r="D1355" t="s">
        <v>27</v>
      </c>
      <c r="E1355" t="s">
        <v>15</v>
      </c>
      <c r="F1355" t="s">
        <v>28</v>
      </c>
      <c r="G1355" t="s">
        <v>284</v>
      </c>
      <c r="H1355" t="s">
        <v>34</v>
      </c>
    </row>
    <row r="1356" spans="1:8" x14ac:dyDescent="0.2">
      <c r="A1356" t="s">
        <v>285</v>
      </c>
      <c r="B1356">
        <v>4.4853260869565217</v>
      </c>
      <c r="C1356" t="s">
        <v>33</v>
      </c>
      <c r="D1356" t="s">
        <v>27</v>
      </c>
      <c r="E1356" t="s">
        <v>15</v>
      </c>
      <c r="F1356" t="s">
        <v>28</v>
      </c>
      <c r="G1356" t="s">
        <v>286</v>
      </c>
      <c r="H1356" t="s">
        <v>34</v>
      </c>
    </row>
    <row r="1357" spans="1:8" x14ac:dyDescent="0.2">
      <c r="A1357" t="s">
        <v>278</v>
      </c>
      <c r="B1357">
        <v>56.784071499838838</v>
      </c>
      <c r="C1357" t="s">
        <v>33</v>
      </c>
      <c r="D1357" t="s">
        <v>27</v>
      </c>
      <c r="E1357" t="s">
        <v>15</v>
      </c>
      <c r="F1357" t="s">
        <v>28</v>
      </c>
      <c r="G1357" t="s">
        <v>279</v>
      </c>
      <c r="H1357" t="s">
        <v>275</v>
      </c>
    </row>
    <row r="1358" spans="1:8" x14ac:dyDescent="0.2">
      <c r="A1358" t="s">
        <v>272</v>
      </c>
      <c r="B1358">
        <v>1951.9177740533339</v>
      </c>
      <c r="C1358" t="s">
        <v>33</v>
      </c>
      <c r="D1358" t="s">
        <v>27</v>
      </c>
      <c r="E1358" t="s">
        <v>15</v>
      </c>
      <c r="F1358" t="s">
        <v>28</v>
      </c>
      <c r="G1358" t="s">
        <v>273</v>
      </c>
      <c r="H1358" t="s">
        <v>62</v>
      </c>
    </row>
    <row r="1359" spans="1:8" x14ac:dyDescent="0.2">
      <c r="A1359" t="s">
        <v>274</v>
      </c>
      <c r="B1359">
        <v>319.11979433163339</v>
      </c>
      <c r="C1359" t="s">
        <v>33</v>
      </c>
      <c r="D1359" t="s">
        <v>27</v>
      </c>
      <c r="E1359" t="s">
        <v>15</v>
      </c>
      <c r="F1359" t="s">
        <v>28</v>
      </c>
      <c r="G1359" t="s">
        <v>500</v>
      </c>
      <c r="H1359" t="s">
        <v>275</v>
      </c>
    </row>
    <row r="1360" spans="1:8" x14ac:dyDescent="0.2">
      <c r="A1360" t="s">
        <v>287</v>
      </c>
      <c r="B1360">
        <v>8.9706521739130434</v>
      </c>
      <c r="C1360" t="s">
        <v>33</v>
      </c>
      <c r="D1360" t="s">
        <v>27</v>
      </c>
      <c r="E1360" t="s">
        <v>15</v>
      </c>
      <c r="F1360" t="s">
        <v>28</v>
      </c>
      <c r="G1360" t="s">
        <v>288</v>
      </c>
      <c r="H1360" t="s">
        <v>34</v>
      </c>
    </row>
    <row r="1361" spans="1:8" x14ac:dyDescent="0.2">
      <c r="A1361" t="s">
        <v>289</v>
      </c>
      <c r="B1361">
        <v>3.9869565217391298</v>
      </c>
      <c r="C1361" t="s">
        <v>33</v>
      </c>
      <c r="D1361" t="s">
        <v>27</v>
      </c>
      <c r="E1361" t="s">
        <v>15</v>
      </c>
      <c r="F1361" t="s">
        <v>28</v>
      </c>
      <c r="G1361" t="s">
        <v>290</v>
      </c>
      <c r="H1361" t="s">
        <v>34</v>
      </c>
    </row>
    <row r="1362" spans="1:8" x14ac:dyDescent="0.2">
      <c r="A1362" t="s">
        <v>280</v>
      </c>
      <c r="B1362">
        <v>-80.20744106505623</v>
      </c>
      <c r="C1362" t="s">
        <v>33</v>
      </c>
      <c r="D1362" t="s">
        <v>27</v>
      </c>
      <c r="E1362" t="s">
        <v>15</v>
      </c>
      <c r="F1362" t="s">
        <v>28</v>
      </c>
      <c r="G1362" t="s">
        <v>281</v>
      </c>
      <c r="H1362" t="s">
        <v>282</v>
      </c>
    </row>
    <row r="1363" spans="1:8" x14ac:dyDescent="0.2">
      <c r="A1363" t="s">
        <v>60</v>
      </c>
      <c r="B1363">
        <v>43.357291666666647</v>
      </c>
      <c r="C1363" t="s">
        <v>26</v>
      </c>
      <c r="D1363" t="s">
        <v>27</v>
      </c>
      <c r="E1363" t="s">
        <v>15</v>
      </c>
      <c r="F1363" t="s">
        <v>28</v>
      </c>
      <c r="G1363" t="s">
        <v>54</v>
      </c>
      <c r="H1363" t="s">
        <v>34</v>
      </c>
    </row>
    <row r="1364" spans="1:8" x14ac:dyDescent="0.2">
      <c r="A1364" t="s">
        <v>276</v>
      </c>
      <c r="B1364">
        <v>-1793.7183390514499</v>
      </c>
      <c r="C1364" t="s">
        <v>33</v>
      </c>
      <c r="D1364" t="s">
        <v>27</v>
      </c>
      <c r="E1364" t="s">
        <v>15</v>
      </c>
      <c r="F1364" t="s">
        <v>28</v>
      </c>
      <c r="G1364" t="s">
        <v>277</v>
      </c>
      <c r="H1364" t="s">
        <v>25</v>
      </c>
    </row>
    <row r="1365" spans="1:8" x14ac:dyDescent="0.2">
      <c r="A1365" t="s">
        <v>501</v>
      </c>
      <c r="B1365">
        <v>-319.11979433163339</v>
      </c>
      <c r="C1365" t="s">
        <v>33</v>
      </c>
      <c r="D1365" t="s">
        <v>27</v>
      </c>
      <c r="E1365" t="s">
        <v>15</v>
      </c>
      <c r="F1365" t="s">
        <v>28</v>
      </c>
      <c r="G1365" t="s">
        <v>502</v>
      </c>
      <c r="H1365" t="s">
        <v>25</v>
      </c>
    </row>
    <row r="1366" spans="1:8" x14ac:dyDescent="0.2">
      <c r="A1366" t="s">
        <v>56</v>
      </c>
      <c r="B1366">
        <v>336.42717586560309</v>
      </c>
      <c r="C1366" t="s">
        <v>63</v>
      </c>
      <c r="D1366" t="s">
        <v>39</v>
      </c>
      <c r="E1366" t="s">
        <v>15</v>
      </c>
      <c r="F1366" t="s">
        <v>28</v>
      </c>
      <c r="G1366" t="s">
        <v>58</v>
      </c>
      <c r="H1366" t="s">
        <v>34</v>
      </c>
    </row>
    <row r="1367" spans="1:8" x14ac:dyDescent="0.2">
      <c r="A1367" t="s">
        <v>359</v>
      </c>
      <c r="B1367">
        <v>1</v>
      </c>
      <c r="C1367" t="s">
        <v>26</v>
      </c>
      <c r="D1367" t="s">
        <v>10</v>
      </c>
      <c r="E1367" t="s">
        <v>15</v>
      </c>
      <c r="F1367" t="s">
        <v>24</v>
      </c>
      <c r="G1367" t="s">
        <v>71</v>
      </c>
      <c r="H1367" t="s">
        <v>25</v>
      </c>
    </row>
    <row r="1369" spans="1:8" ht="16" x14ac:dyDescent="0.2">
      <c r="A1369" s="1" t="s">
        <v>4</v>
      </c>
      <c r="B1369" s="1" t="s">
        <v>303</v>
      </c>
    </row>
    <row r="1370" spans="1:8" x14ac:dyDescent="0.2">
      <c r="A1370" t="s">
        <v>5</v>
      </c>
      <c r="B1370" t="s">
        <v>26</v>
      </c>
    </row>
    <row r="1371" spans="1:8" x14ac:dyDescent="0.2">
      <c r="A1371" t="s">
        <v>6</v>
      </c>
      <c r="B1371">
        <v>1</v>
      </c>
    </row>
    <row r="1372" spans="1:8" x14ac:dyDescent="0.2">
      <c r="A1372" t="s">
        <v>7</v>
      </c>
      <c r="B1372" t="s">
        <v>73</v>
      </c>
    </row>
    <row r="1373" spans="1:8" x14ac:dyDescent="0.2">
      <c r="A1373" t="s">
        <v>8</v>
      </c>
      <c r="B1373" t="s">
        <v>9</v>
      </c>
    </row>
    <row r="1374" spans="1:8" x14ac:dyDescent="0.2">
      <c r="A1374" t="s">
        <v>10</v>
      </c>
      <c r="B1374" t="s">
        <v>10</v>
      </c>
    </row>
    <row r="1375" spans="1:8" x14ac:dyDescent="0.2">
      <c r="A1375" t="s">
        <v>11</v>
      </c>
      <c r="B1375" t="s">
        <v>12</v>
      </c>
    </row>
    <row r="1376" spans="1:8" x14ac:dyDescent="0.2">
      <c r="A1376" t="s">
        <v>13</v>
      </c>
      <c r="B1376" t="s">
        <v>291</v>
      </c>
    </row>
    <row r="1377" spans="1:8" x14ac:dyDescent="0.2">
      <c r="A1377" t="s">
        <v>14</v>
      </c>
      <c r="B1377" t="s">
        <v>271</v>
      </c>
    </row>
    <row r="1378" spans="1:8" x14ac:dyDescent="0.2">
      <c r="A1378" t="s">
        <v>16</v>
      </c>
      <c r="B1378" t="s">
        <v>15</v>
      </c>
    </row>
    <row r="1379" spans="1:8" x14ac:dyDescent="0.2">
      <c r="A1379" t="s">
        <v>17</v>
      </c>
      <c r="B1379" t="s">
        <v>113</v>
      </c>
    </row>
    <row r="1380" spans="1:8" ht="16" x14ac:dyDescent="0.2">
      <c r="A1380" s="1" t="s">
        <v>18</v>
      </c>
    </row>
    <row r="1381" spans="1:8" x14ac:dyDescent="0.2">
      <c r="A1381" t="s">
        <v>19</v>
      </c>
      <c r="B1381" t="s">
        <v>20</v>
      </c>
      <c r="C1381" t="s">
        <v>5</v>
      </c>
      <c r="D1381" t="s">
        <v>10</v>
      </c>
      <c r="E1381" t="s">
        <v>22</v>
      </c>
      <c r="F1381" t="s">
        <v>8</v>
      </c>
      <c r="G1381" t="s">
        <v>7</v>
      </c>
      <c r="H1381" t="s">
        <v>23</v>
      </c>
    </row>
    <row r="1382" spans="1:8" x14ac:dyDescent="0.2">
      <c r="A1382" t="s">
        <v>610</v>
      </c>
      <c r="B1382">
        <f>72</f>
        <v>72</v>
      </c>
      <c r="C1382" t="s">
        <v>33</v>
      </c>
      <c r="D1382" t="s">
        <v>39</v>
      </c>
      <c r="F1382" t="s">
        <v>28</v>
      </c>
      <c r="G1382" t="s">
        <v>611</v>
      </c>
      <c r="H1382" t="s">
        <v>34</v>
      </c>
    </row>
    <row r="1383" spans="1:8" x14ac:dyDescent="0.2">
      <c r="A1383" t="s">
        <v>61</v>
      </c>
      <c r="B1383">
        <v>209.5654015275679</v>
      </c>
      <c r="C1383" t="s">
        <v>33</v>
      </c>
      <c r="D1383" t="s">
        <v>27</v>
      </c>
      <c r="E1383" t="s">
        <v>15</v>
      </c>
      <c r="F1383" t="s">
        <v>28</v>
      </c>
      <c r="G1383" t="s">
        <v>61</v>
      </c>
      <c r="H1383" t="s">
        <v>62</v>
      </c>
    </row>
    <row r="1384" spans="1:8" x14ac:dyDescent="0.2">
      <c r="A1384" t="s">
        <v>283</v>
      </c>
      <c r="B1384">
        <v>5.9608695652173918</v>
      </c>
      <c r="C1384" t="s">
        <v>33</v>
      </c>
      <c r="D1384" t="s">
        <v>27</v>
      </c>
      <c r="E1384" t="s">
        <v>15</v>
      </c>
      <c r="F1384" t="s">
        <v>28</v>
      </c>
      <c r="G1384" t="s">
        <v>284</v>
      </c>
      <c r="H1384" t="s">
        <v>34</v>
      </c>
    </row>
    <row r="1385" spans="1:8" x14ac:dyDescent="0.2">
      <c r="A1385" t="s">
        <v>285</v>
      </c>
      <c r="B1385">
        <v>4.4706521739130434</v>
      </c>
      <c r="C1385" t="s">
        <v>33</v>
      </c>
      <c r="D1385" t="s">
        <v>27</v>
      </c>
      <c r="E1385" t="s">
        <v>15</v>
      </c>
      <c r="F1385" t="s">
        <v>28</v>
      </c>
      <c r="G1385" t="s">
        <v>286</v>
      </c>
      <c r="H1385" t="s">
        <v>34</v>
      </c>
    </row>
    <row r="1386" spans="1:8" x14ac:dyDescent="0.2">
      <c r="A1386" t="s">
        <v>278</v>
      </c>
      <c r="B1386">
        <v>73.115133229066814</v>
      </c>
      <c r="C1386" t="s">
        <v>33</v>
      </c>
      <c r="D1386" t="s">
        <v>27</v>
      </c>
      <c r="E1386" t="s">
        <v>15</v>
      </c>
      <c r="F1386" t="s">
        <v>28</v>
      </c>
      <c r="G1386" t="s">
        <v>279</v>
      </c>
      <c r="H1386" t="s">
        <v>275</v>
      </c>
    </row>
    <row r="1387" spans="1:8" x14ac:dyDescent="0.2">
      <c r="A1387" t="s">
        <v>272</v>
      </c>
      <c r="B1387">
        <v>1967.3486674016569</v>
      </c>
      <c r="C1387" t="s">
        <v>33</v>
      </c>
      <c r="D1387" t="s">
        <v>27</v>
      </c>
      <c r="E1387" t="s">
        <v>15</v>
      </c>
      <c r="F1387" t="s">
        <v>28</v>
      </c>
      <c r="G1387" t="s">
        <v>273</v>
      </c>
      <c r="H1387" t="s">
        <v>62</v>
      </c>
    </row>
    <row r="1388" spans="1:8" x14ac:dyDescent="0.2">
      <c r="A1388" t="s">
        <v>274</v>
      </c>
      <c r="B1388">
        <v>303.28970387496048</v>
      </c>
      <c r="C1388" t="s">
        <v>33</v>
      </c>
      <c r="D1388" t="s">
        <v>27</v>
      </c>
      <c r="E1388" t="s">
        <v>15</v>
      </c>
      <c r="F1388" t="s">
        <v>28</v>
      </c>
      <c r="G1388" t="s">
        <v>500</v>
      </c>
      <c r="H1388" t="s">
        <v>275</v>
      </c>
    </row>
    <row r="1389" spans="1:8" x14ac:dyDescent="0.2">
      <c r="A1389" t="s">
        <v>287</v>
      </c>
      <c r="B1389">
        <v>8.9413043478260867</v>
      </c>
      <c r="C1389" t="s">
        <v>33</v>
      </c>
      <c r="D1389" t="s">
        <v>27</v>
      </c>
      <c r="E1389" t="s">
        <v>15</v>
      </c>
      <c r="F1389" t="s">
        <v>28</v>
      </c>
      <c r="G1389" t="s">
        <v>288</v>
      </c>
      <c r="H1389" t="s">
        <v>34</v>
      </c>
    </row>
    <row r="1390" spans="1:8" x14ac:dyDescent="0.2">
      <c r="A1390" t="s">
        <v>289</v>
      </c>
      <c r="B1390">
        <v>3.973913043478261</v>
      </c>
      <c r="C1390" t="s">
        <v>33</v>
      </c>
      <c r="D1390" t="s">
        <v>27</v>
      </c>
      <c r="E1390" t="s">
        <v>15</v>
      </c>
      <c r="F1390" t="s">
        <v>28</v>
      </c>
      <c r="G1390" t="s">
        <v>290</v>
      </c>
      <c r="H1390" t="s">
        <v>34</v>
      </c>
    </row>
    <row r="1391" spans="1:8" x14ac:dyDescent="0.2">
      <c r="A1391" t="s">
        <v>280</v>
      </c>
      <c r="B1391">
        <v>-96.461872359501598</v>
      </c>
      <c r="C1391" t="s">
        <v>33</v>
      </c>
      <c r="D1391" t="s">
        <v>27</v>
      </c>
      <c r="E1391" t="s">
        <v>15</v>
      </c>
      <c r="F1391" t="s">
        <v>28</v>
      </c>
      <c r="G1391" t="s">
        <v>281</v>
      </c>
      <c r="H1391" t="s">
        <v>282</v>
      </c>
    </row>
    <row r="1392" spans="1:8" x14ac:dyDescent="0.2">
      <c r="A1392" t="s">
        <v>60</v>
      </c>
      <c r="B1392">
        <v>49.264583333333327</v>
      </c>
      <c r="C1392" t="s">
        <v>26</v>
      </c>
      <c r="D1392" t="s">
        <v>27</v>
      </c>
      <c r="E1392" t="s">
        <v>15</v>
      </c>
      <c r="F1392" t="s">
        <v>28</v>
      </c>
      <c r="G1392" t="s">
        <v>54</v>
      </c>
      <c r="H1392" t="s">
        <v>34</v>
      </c>
    </row>
    <row r="1393" spans="1:8" x14ac:dyDescent="0.2">
      <c r="A1393" t="s">
        <v>276</v>
      </c>
      <c r="B1393">
        <v>-1807.047849207423</v>
      </c>
      <c r="C1393" t="s">
        <v>33</v>
      </c>
      <c r="D1393" t="s">
        <v>27</v>
      </c>
      <c r="E1393" t="s">
        <v>15</v>
      </c>
      <c r="F1393" t="s">
        <v>28</v>
      </c>
      <c r="G1393" t="s">
        <v>277</v>
      </c>
      <c r="H1393" t="s">
        <v>25</v>
      </c>
    </row>
    <row r="1394" spans="1:8" x14ac:dyDescent="0.2">
      <c r="A1394" t="s">
        <v>501</v>
      </c>
      <c r="B1394">
        <v>-303.28970387496048</v>
      </c>
      <c r="C1394" t="s">
        <v>33</v>
      </c>
      <c r="D1394" t="s">
        <v>27</v>
      </c>
      <c r="E1394" t="s">
        <v>15</v>
      </c>
      <c r="F1394" t="s">
        <v>28</v>
      </c>
      <c r="G1394" t="s">
        <v>502</v>
      </c>
      <c r="H1394" t="s">
        <v>25</v>
      </c>
    </row>
    <row r="1395" spans="1:8" x14ac:dyDescent="0.2">
      <c r="A1395" t="s">
        <v>56</v>
      </c>
      <c r="B1395">
        <v>290.94624317515883</v>
      </c>
      <c r="C1395" t="s">
        <v>63</v>
      </c>
      <c r="D1395" t="s">
        <v>39</v>
      </c>
      <c r="E1395" t="s">
        <v>15</v>
      </c>
      <c r="F1395" t="s">
        <v>28</v>
      </c>
      <c r="G1395" t="s">
        <v>58</v>
      </c>
      <c r="H1395" t="s">
        <v>34</v>
      </c>
    </row>
    <row r="1396" spans="1:8" x14ac:dyDescent="0.2">
      <c r="A1396" t="s">
        <v>303</v>
      </c>
      <c r="B1396">
        <v>1</v>
      </c>
      <c r="C1396" t="s">
        <v>26</v>
      </c>
      <c r="D1396" t="s">
        <v>10</v>
      </c>
      <c r="E1396" t="s">
        <v>15</v>
      </c>
      <c r="F1396" t="s">
        <v>24</v>
      </c>
      <c r="G1396" t="s">
        <v>73</v>
      </c>
      <c r="H1396" t="s">
        <v>25</v>
      </c>
    </row>
    <row r="1399" spans="1:8" ht="16" x14ac:dyDescent="0.2">
      <c r="A1399" s="1" t="s">
        <v>4</v>
      </c>
      <c r="B1399" s="1" t="s">
        <v>477</v>
      </c>
    </row>
    <row r="1400" spans="1:8" x14ac:dyDescent="0.2">
      <c r="A1400" t="s">
        <v>5</v>
      </c>
      <c r="B1400" t="s">
        <v>26</v>
      </c>
    </row>
    <row r="1401" spans="1:8" x14ac:dyDescent="0.2">
      <c r="A1401" t="s">
        <v>6</v>
      </c>
      <c r="B1401">
        <v>1</v>
      </c>
    </row>
    <row r="1402" spans="1:8" x14ac:dyDescent="0.2">
      <c r="A1402" t="s">
        <v>7</v>
      </c>
      <c r="B1402" t="s">
        <v>88</v>
      </c>
    </row>
    <row r="1403" spans="1:8" x14ac:dyDescent="0.2">
      <c r="A1403" t="s">
        <v>8</v>
      </c>
      <c r="B1403" t="s">
        <v>9</v>
      </c>
    </row>
    <row r="1404" spans="1:8" x14ac:dyDescent="0.2">
      <c r="A1404" t="s">
        <v>10</v>
      </c>
      <c r="B1404" t="s">
        <v>10</v>
      </c>
    </row>
    <row r="1405" spans="1:8" x14ac:dyDescent="0.2">
      <c r="A1405" t="s">
        <v>11</v>
      </c>
      <c r="B1405" t="s">
        <v>12</v>
      </c>
    </row>
    <row r="1406" spans="1:8" x14ac:dyDescent="0.2">
      <c r="A1406" t="s">
        <v>13</v>
      </c>
      <c r="B1406" t="s">
        <v>291</v>
      </c>
    </row>
    <row r="1407" spans="1:8" x14ac:dyDescent="0.2">
      <c r="A1407" t="s">
        <v>14</v>
      </c>
      <c r="B1407" t="s">
        <v>271</v>
      </c>
    </row>
    <row r="1408" spans="1:8" x14ac:dyDescent="0.2">
      <c r="A1408" t="s">
        <v>16</v>
      </c>
      <c r="B1408" t="s">
        <v>15</v>
      </c>
    </row>
    <row r="1409" spans="1:8" x14ac:dyDescent="0.2">
      <c r="A1409" t="s">
        <v>17</v>
      </c>
      <c r="B1409" t="s">
        <v>114</v>
      </c>
    </row>
    <row r="1410" spans="1:8" ht="16" x14ac:dyDescent="0.2">
      <c r="A1410" s="1" t="s">
        <v>18</v>
      </c>
    </row>
    <row r="1411" spans="1:8" x14ac:dyDescent="0.2">
      <c r="A1411" t="s">
        <v>19</v>
      </c>
      <c r="B1411" t="s">
        <v>20</v>
      </c>
      <c r="C1411" t="s">
        <v>5</v>
      </c>
      <c r="D1411" t="s">
        <v>10</v>
      </c>
      <c r="E1411" t="s">
        <v>22</v>
      </c>
      <c r="F1411" t="s">
        <v>8</v>
      </c>
      <c r="G1411" t="s">
        <v>7</v>
      </c>
      <c r="H1411" t="s">
        <v>23</v>
      </c>
    </row>
    <row r="1412" spans="1:8" x14ac:dyDescent="0.2">
      <c r="A1412" t="s">
        <v>610</v>
      </c>
      <c r="B1412">
        <f>35.5</f>
        <v>35.5</v>
      </c>
      <c r="C1412" t="s">
        <v>33</v>
      </c>
      <c r="D1412" t="s">
        <v>39</v>
      </c>
      <c r="F1412" t="s">
        <v>28</v>
      </c>
      <c r="G1412" t="s">
        <v>611</v>
      </c>
      <c r="H1412" t="s">
        <v>34</v>
      </c>
    </row>
    <row r="1413" spans="1:8" x14ac:dyDescent="0.2">
      <c r="A1413" t="s">
        <v>484</v>
      </c>
      <c r="B1413">
        <v>117.39130434782609</v>
      </c>
      <c r="C1413" t="s">
        <v>26</v>
      </c>
      <c r="D1413" t="s">
        <v>27</v>
      </c>
      <c r="E1413" t="s">
        <v>15</v>
      </c>
      <c r="F1413" t="s">
        <v>28</v>
      </c>
      <c r="G1413" t="s">
        <v>485</v>
      </c>
      <c r="H1413" t="s">
        <v>34</v>
      </c>
    </row>
    <row r="1414" spans="1:8" x14ac:dyDescent="0.2">
      <c r="A1414" t="s">
        <v>61</v>
      </c>
      <c r="B1414">
        <v>202.39130434782609</v>
      </c>
      <c r="C1414" t="s">
        <v>33</v>
      </c>
      <c r="D1414" t="s">
        <v>27</v>
      </c>
      <c r="E1414" t="s">
        <v>15</v>
      </c>
      <c r="F1414" t="s">
        <v>28</v>
      </c>
      <c r="G1414" t="s">
        <v>61</v>
      </c>
      <c r="H1414" t="s">
        <v>62</v>
      </c>
    </row>
    <row r="1415" spans="1:8" ht="16" x14ac:dyDescent="0.2">
      <c r="A1415" s="2" t="s">
        <v>503</v>
      </c>
      <c r="B1415">
        <v>33.5</v>
      </c>
      <c r="C1415" t="s">
        <v>505</v>
      </c>
      <c r="D1415" t="s">
        <v>10</v>
      </c>
      <c r="E1415" t="s">
        <v>15</v>
      </c>
      <c r="F1415" t="s">
        <v>28</v>
      </c>
      <c r="G1415" t="s">
        <v>504</v>
      </c>
      <c r="H1415" t="s">
        <v>34</v>
      </c>
    </row>
    <row r="1416" spans="1:8" x14ac:dyDescent="0.2">
      <c r="A1416" t="s">
        <v>285</v>
      </c>
      <c r="B1416">
        <v>4.4706521739130434</v>
      </c>
      <c r="C1416" t="s">
        <v>33</v>
      </c>
      <c r="D1416" t="s">
        <v>27</v>
      </c>
      <c r="E1416" t="s">
        <v>15</v>
      </c>
      <c r="F1416" t="s">
        <v>28</v>
      </c>
      <c r="G1416" t="s">
        <v>286</v>
      </c>
      <c r="H1416" t="s">
        <v>34</v>
      </c>
    </row>
    <row r="1417" spans="1:8" x14ac:dyDescent="0.2">
      <c r="A1417" t="s">
        <v>278</v>
      </c>
      <c r="B1417">
        <v>107.35965013563209</v>
      </c>
      <c r="C1417" t="s">
        <v>33</v>
      </c>
      <c r="D1417" t="s">
        <v>27</v>
      </c>
      <c r="E1417" t="s">
        <v>15</v>
      </c>
      <c r="F1417" t="s">
        <v>28</v>
      </c>
      <c r="G1417" t="s">
        <v>279</v>
      </c>
      <c r="H1417" t="s">
        <v>275</v>
      </c>
    </row>
    <row r="1418" spans="1:8" x14ac:dyDescent="0.2">
      <c r="A1418" t="s">
        <v>272</v>
      </c>
      <c r="B1418">
        <v>1900</v>
      </c>
      <c r="C1418" t="s">
        <v>33</v>
      </c>
      <c r="D1418" t="s">
        <v>27</v>
      </c>
      <c r="E1418" t="s">
        <v>15</v>
      </c>
      <c r="F1418" t="s">
        <v>28</v>
      </c>
      <c r="G1418" t="s">
        <v>273</v>
      </c>
      <c r="H1418" t="s">
        <v>62</v>
      </c>
    </row>
    <row r="1419" spans="1:8" x14ac:dyDescent="0.2">
      <c r="A1419" t="s">
        <v>274</v>
      </c>
      <c r="B1419">
        <v>103.6093050122186</v>
      </c>
      <c r="C1419" t="s">
        <v>33</v>
      </c>
      <c r="D1419" t="s">
        <v>27</v>
      </c>
      <c r="E1419" t="s">
        <v>15</v>
      </c>
      <c r="F1419" t="s">
        <v>28</v>
      </c>
      <c r="G1419" t="s">
        <v>500</v>
      </c>
      <c r="H1419" t="s">
        <v>275</v>
      </c>
    </row>
    <row r="1420" spans="1:8" x14ac:dyDescent="0.2">
      <c r="A1420" t="s">
        <v>287</v>
      </c>
      <c r="B1420">
        <v>8.9413043478260867</v>
      </c>
      <c r="C1420" t="s">
        <v>33</v>
      </c>
      <c r="D1420" t="s">
        <v>27</v>
      </c>
      <c r="E1420" t="s">
        <v>15</v>
      </c>
      <c r="F1420" t="s">
        <v>28</v>
      </c>
      <c r="G1420" t="s">
        <v>288</v>
      </c>
      <c r="H1420" t="s">
        <v>34</v>
      </c>
    </row>
    <row r="1421" spans="1:8" x14ac:dyDescent="0.2">
      <c r="A1421" t="s">
        <v>289</v>
      </c>
      <c r="B1421">
        <v>3.973913043478261</v>
      </c>
      <c r="C1421" t="s">
        <v>33</v>
      </c>
      <c r="D1421" t="s">
        <v>27</v>
      </c>
      <c r="E1421" t="s">
        <v>15</v>
      </c>
      <c r="F1421" t="s">
        <v>28</v>
      </c>
      <c r="G1421" t="s">
        <v>290</v>
      </c>
      <c r="H1421" t="s">
        <v>34</v>
      </c>
    </row>
    <row r="1422" spans="1:8" x14ac:dyDescent="0.2">
      <c r="A1422" t="s">
        <v>280</v>
      </c>
      <c r="B1422">
        <v>-396.44244133286543</v>
      </c>
      <c r="C1422" t="s">
        <v>33</v>
      </c>
      <c r="D1422" t="s">
        <v>27</v>
      </c>
      <c r="E1422" t="s">
        <v>15</v>
      </c>
      <c r="F1422" t="s">
        <v>28</v>
      </c>
      <c r="G1422" t="s">
        <v>281</v>
      </c>
      <c r="H1422" t="s">
        <v>282</v>
      </c>
    </row>
    <row r="1423" spans="1:8" x14ac:dyDescent="0.2">
      <c r="A1423" t="s">
        <v>276</v>
      </c>
      <c r="B1423">
        <v>-1815</v>
      </c>
      <c r="C1423" t="s">
        <v>33</v>
      </c>
      <c r="D1423" t="s">
        <v>27</v>
      </c>
      <c r="E1423" t="s">
        <v>15</v>
      </c>
      <c r="F1423" t="s">
        <v>28</v>
      </c>
      <c r="G1423" t="s">
        <v>277</v>
      </c>
      <c r="H1423" t="s">
        <v>25</v>
      </c>
    </row>
    <row r="1424" spans="1:8" x14ac:dyDescent="0.2">
      <c r="A1424" t="s">
        <v>501</v>
      </c>
      <c r="B1424">
        <v>-103.6093050122186</v>
      </c>
      <c r="C1424" t="s">
        <v>33</v>
      </c>
      <c r="D1424" t="s">
        <v>27</v>
      </c>
      <c r="E1424" t="s">
        <v>15</v>
      </c>
      <c r="F1424" t="s">
        <v>28</v>
      </c>
      <c r="G1424" t="s">
        <v>502</v>
      </c>
      <c r="H1424" t="s">
        <v>25</v>
      </c>
    </row>
    <row r="1425" spans="1:8" x14ac:dyDescent="0.2">
      <c r="A1425" t="s">
        <v>56</v>
      </c>
      <c r="B1425">
        <v>142.1211342418664</v>
      </c>
      <c r="C1425" t="s">
        <v>63</v>
      </c>
      <c r="D1425" t="s">
        <v>39</v>
      </c>
      <c r="E1425" t="s">
        <v>15</v>
      </c>
      <c r="F1425" t="s">
        <v>28</v>
      </c>
      <c r="G1425" t="s">
        <v>58</v>
      </c>
      <c r="H1425" t="s">
        <v>34</v>
      </c>
    </row>
    <row r="1426" spans="1:8" x14ac:dyDescent="0.2">
      <c r="A1426" t="s">
        <v>477</v>
      </c>
      <c r="B1426">
        <v>1</v>
      </c>
      <c r="C1426" t="s">
        <v>26</v>
      </c>
      <c r="D1426" t="s">
        <v>10</v>
      </c>
      <c r="E1426" t="s">
        <v>15</v>
      </c>
      <c r="F1426" t="s">
        <v>24</v>
      </c>
      <c r="G1426" t="s">
        <v>88</v>
      </c>
      <c r="H1426" t="s">
        <v>25</v>
      </c>
    </row>
    <row r="1429" spans="1:8" ht="16" x14ac:dyDescent="0.2">
      <c r="A1429" s="1" t="s">
        <v>4</v>
      </c>
      <c r="B1429" s="1" t="s">
        <v>489</v>
      </c>
    </row>
    <row r="1430" spans="1:8" x14ac:dyDescent="0.2">
      <c r="A1430" t="s">
        <v>5</v>
      </c>
      <c r="B1430" t="s">
        <v>26</v>
      </c>
    </row>
    <row r="1431" spans="1:8" x14ac:dyDescent="0.2">
      <c r="A1431" t="s">
        <v>6</v>
      </c>
      <c r="B1431">
        <v>1</v>
      </c>
    </row>
    <row r="1432" spans="1:8" x14ac:dyDescent="0.2">
      <c r="A1432" t="s">
        <v>7</v>
      </c>
      <c r="B1432" t="s">
        <v>88</v>
      </c>
    </row>
    <row r="1433" spans="1:8" x14ac:dyDescent="0.2">
      <c r="A1433" t="s">
        <v>8</v>
      </c>
      <c r="B1433" t="s">
        <v>9</v>
      </c>
    </row>
    <row r="1434" spans="1:8" x14ac:dyDescent="0.2">
      <c r="A1434" t="s">
        <v>10</v>
      </c>
      <c r="B1434" t="s">
        <v>10</v>
      </c>
    </row>
    <row r="1435" spans="1:8" x14ac:dyDescent="0.2">
      <c r="A1435" t="s">
        <v>11</v>
      </c>
      <c r="B1435" t="s">
        <v>12</v>
      </c>
    </row>
    <row r="1436" spans="1:8" x14ac:dyDescent="0.2">
      <c r="A1436" t="s">
        <v>13</v>
      </c>
      <c r="B1436" t="s">
        <v>291</v>
      </c>
    </row>
    <row r="1437" spans="1:8" x14ac:dyDescent="0.2">
      <c r="A1437" t="s">
        <v>14</v>
      </c>
      <c r="B1437" t="s">
        <v>271</v>
      </c>
    </row>
    <row r="1438" spans="1:8" x14ac:dyDescent="0.2">
      <c r="A1438" t="s">
        <v>16</v>
      </c>
      <c r="B1438" t="s">
        <v>15</v>
      </c>
    </row>
    <row r="1439" spans="1:8" x14ac:dyDescent="0.2">
      <c r="A1439" t="s">
        <v>17</v>
      </c>
      <c r="B1439" t="s">
        <v>115</v>
      </c>
    </row>
    <row r="1440" spans="1:8" ht="16" x14ac:dyDescent="0.2">
      <c r="A1440" s="1" t="s">
        <v>18</v>
      </c>
    </row>
    <row r="1441" spans="1:8" x14ac:dyDescent="0.2">
      <c r="A1441" t="s">
        <v>19</v>
      </c>
      <c r="B1441" t="s">
        <v>20</v>
      </c>
      <c r="C1441" t="s">
        <v>5</v>
      </c>
      <c r="D1441" t="s">
        <v>10</v>
      </c>
      <c r="E1441" t="s">
        <v>22</v>
      </c>
      <c r="F1441" t="s">
        <v>8</v>
      </c>
      <c r="G1441" t="s">
        <v>7</v>
      </c>
      <c r="H1441" t="s">
        <v>23</v>
      </c>
    </row>
    <row r="1442" spans="1:8" x14ac:dyDescent="0.2">
      <c r="A1442" t="s">
        <v>610</v>
      </c>
      <c r="B1442">
        <v>79</v>
      </c>
      <c r="C1442" t="s">
        <v>33</v>
      </c>
      <c r="D1442" t="s">
        <v>39</v>
      </c>
      <c r="F1442" t="s">
        <v>28</v>
      </c>
      <c r="G1442" t="s">
        <v>611</v>
      </c>
      <c r="H1442" t="s">
        <v>34</v>
      </c>
    </row>
    <row r="1443" spans="1:8" x14ac:dyDescent="0.2">
      <c r="A1443" t="s">
        <v>61</v>
      </c>
      <c r="B1443">
        <v>569.99999999999989</v>
      </c>
      <c r="C1443" t="s">
        <v>33</v>
      </c>
      <c r="D1443" t="s">
        <v>27</v>
      </c>
      <c r="E1443" t="s">
        <v>15</v>
      </c>
      <c r="F1443" t="s">
        <v>28</v>
      </c>
      <c r="G1443" t="s">
        <v>61</v>
      </c>
      <c r="H1443" t="s">
        <v>62</v>
      </c>
    </row>
    <row r="1444" spans="1:8" x14ac:dyDescent="0.2">
      <c r="A1444" t="s">
        <v>283</v>
      </c>
      <c r="B1444">
        <v>5.9608695652173918</v>
      </c>
      <c r="C1444" t="s">
        <v>33</v>
      </c>
      <c r="D1444" t="s">
        <v>27</v>
      </c>
      <c r="E1444" t="s">
        <v>15</v>
      </c>
      <c r="F1444" t="s">
        <v>28</v>
      </c>
      <c r="G1444" t="s">
        <v>284</v>
      </c>
      <c r="H1444" t="s">
        <v>34</v>
      </c>
    </row>
    <row r="1445" spans="1:8" x14ac:dyDescent="0.2">
      <c r="A1445" t="s">
        <v>285</v>
      </c>
      <c r="B1445">
        <v>4.4706521739130434</v>
      </c>
      <c r="C1445" t="s">
        <v>33</v>
      </c>
      <c r="D1445" t="s">
        <v>27</v>
      </c>
      <c r="E1445" t="s">
        <v>15</v>
      </c>
      <c r="F1445" t="s">
        <v>28</v>
      </c>
      <c r="G1445" t="s">
        <v>286</v>
      </c>
      <c r="H1445" t="s">
        <v>34</v>
      </c>
    </row>
    <row r="1446" spans="1:8" x14ac:dyDescent="0.2">
      <c r="A1446" t="s">
        <v>278</v>
      </c>
      <c r="B1446">
        <v>102.4286240340046</v>
      </c>
      <c r="C1446" t="s">
        <v>33</v>
      </c>
      <c r="D1446" t="s">
        <v>27</v>
      </c>
      <c r="E1446" t="s">
        <v>15</v>
      </c>
      <c r="F1446" t="s">
        <v>28</v>
      </c>
      <c r="G1446" t="s">
        <v>279</v>
      </c>
      <c r="H1446" t="s">
        <v>275</v>
      </c>
    </row>
    <row r="1447" spans="1:8" x14ac:dyDescent="0.2">
      <c r="A1447" t="s">
        <v>272</v>
      </c>
      <c r="B1447">
        <v>1900</v>
      </c>
      <c r="C1447" t="s">
        <v>33</v>
      </c>
      <c r="D1447" t="s">
        <v>27</v>
      </c>
      <c r="E1447" t="s">
        <v>15</v>
      </c>
      <c r="F1447" t="s">
        <v>28</v>
      </c>
      <c r="G1447" t="s">
        <v>273</v>
      </c>
      <c r="H1447" t="s">
        <v>62</v>
      </c>
    </row>
    <row r="1448" spans="1:8" x14ac:dyDescent="0.2">
      <c r="A1448" t="s">
        <v>274</v>
      </c>
      <c r="B1448">
        <v>99.72880186267696</v>
      </c>
      <c r="C1448" t="s">
        <v>33</v>
      </c>
      <c r="D1448" t="s">
        <v>27</v>
      </c>
      <c r="E1448" t="s">
        <v>15</v>
      </c>
      <c r="F1448" t="s">
        <v>28</v>
      </c>
      <c r="G1448" t="s">
        <v>500</v>
      </c>
      <c r="H1448" t="s">
        <v>275</v>
      </c>
    </row>
    <row r="1449" spans="1:8" x14ac:dyDescent="0.2">
      <c r="A1449" t="s">
        <v>287</v>
      </c>
      <c r="B1449">
        <v>8.9413043478260867</v>
      </c>
      <c r="C1449" t="s">
        <v>33</v>
      </c>
      <c r="D1449" t="s">
        <v>27</v>
      </c>
      <c r="E1449" t="s">
        <v>15</v>
      </c>
      <c r="F1449" t="s">
        <v>28</v>
      </c>
      <c r="G1449" t="s">
        <v>288</v>
      </c>
      <c r="H1449" t="s">
        <v>34</v>
      </c>
    </row>
    <row r="1450" spans="1:8" x14ac:dyDescent="0.2">
      <c r="A1450" t="s">
        <v>289</v>
      </c>
      <c r="B1450">
        <v>3.973913043478261</v>
      </c>
      <c r="C1450" t="s">
        <v>33</v>
      </c>
      <c r="D1450" t="s">
        <v>27</v>
      </c>
      <c r="E1450" t="s">
        <v>15</v>
      </c>
      <c r="F1450" t="s">
        <v>28</v>
      </c>
      <c r="G1450" t="s">
        <v>290</v>
      </c>
      <c r="H1450" t="s">
        <v>34</v>
      </c>
    </row>
    <row r="1451" spans="1:8" x14ac:dyDescent="0.2">
      <c r="A1451" t="s">
        <v>280</v>
      </c>
      <c r="B1451">
        <v>-125.7753631644394</v>
      </c>
      <c r="C1451" t="s">
        <v>33</v>
      </c>
      <c r="D1451" t="s">
        <v>27</v>
      </c>
      <c r="E1451" t="s">
        <v>15</v>
      </c>
      <c r="F1451" t="s">
        <v>28</v>
      </c>
      <c r="G1451" t="s">
        <v>281</v>
      </c>
      <c r="H1451" t="s">
        <v>282</v>
      </c>
    </row>
    <row r="1452" spans="1:8" x14ac:dyDescent="0.2">
      <c r="A1452" t="s">
        <v>276</v>
      </c>
      <c r="B1452">
        <v>-1330</v>
      </c>
      <c r="C1452" t="s">
        <v>33</v>
      </c>
      <c r="D1452" t="s">
        <v>27</v>
      </c>
      <c r="E1452" t="s">
        <v>15</v>
      </c>
      <c r="F1452" t="s">
        <v>28</v>
      </c>
      <c r="G1452" t="s">
        <v>277</v>
      </c>
      <c r="H1452" t="s">
        <v>25</v>
      </c>
    </row>
    <row r="1453" spans="1:8" x14ac:dyDescent="0.2">
      <c r="A1453" t="s">
        <v>501</v>
      </c>
      <c r="B1453">
        <v>-99.72880186267696</v>
      </c>
      <c r="C1453" t="s">
        <v>33</v>
      </c>
      <c r="D1453" t="s">
        <v>27</v>
      </c>
      <c r="E1453" t="s">
        <v>15</v>
      </c>
      <c r="F1453" t="s">
        <v>28</v>
      </c>
      <c r="G1453" t="s">
        <v>502</v>
      </c>
      <c r="H1453" t="s">
        <v>25</v>
      </c>
    </row>
    <row r="1454" spans="1:8" x14ac:dyDescent="0.2">
      <c r="A1454" t="s">
        <v>56</v>
      </c>
      <c r="B1454">
        <v>1584</v>
      </c>
      <c r="C1454" t="s">
        <v>63</v>
      </c>
      <c r="D1454" t="s">
        <v>39</v>
      </c>
      <c r="E1454" t="s">
        <v>15</v>
      </c>
      <c r="F1454" t="s">
        <v>28</v>
      </c>
      <c r="G1454" t="s">
        <v>58</v>
      </c>
      <c r="H1454" t="s">
        <v>34</v>
      </c>
    </row>
    <row r="1455" spans="1:8" x14ac:dyDescent="0.2">
      <c r="A1455" t="s">
        <v>489</v>
      </c>
      <c r="B1455">
        <v>1</v>
      </c>
      <c r="C1455" t="s">
        <v>26</v>
      </c>
      <c r="D1455" t="s">
        <v>10</v>
      </c>
      <c r="E1455" t="s">
        <v>15</v>
      </c>
      <c r="F1455" t="s">
        <v>24</v>
      </c>
      <c r="G1455" t="s">
        <v>88</v>
      </c>
      <c r="H1455" t="s">
        <v>25</v>
      </c>
    </row>
    <row r="1458" spans="1:8" ht="16" x14ac:dyDescent="0.2">
      <c r="A1458" s="1" t="s">
        <v>4</v>
      </c>
      <c r="B1458" s="1" t="s">
        <v>360</v>
      </c>
    </row>
    <row r="1459" spans="1:8" x14ac:dyDescent="0.2">
      <c r="A1459" t="s">
        <v>5</v>
      </c>
      <c r="B1459" t="s">
        <v>26</v>
      </c>
    </row>
    <row r="1460" spans="1:8" x14ac:dyDescent="0.2">
      <c r="A1460" t="s">
        <v>6</v>
      </c>
      <c r="B1460">
        <v>1</v>
      </c>
    </row>
    <row r="1461" spans="1:8" x14ac:dyDescent="0.2">
      <c r="A1461" t="s">
        <v>7</v>
      </c>
      <c r="B1461" t="s">
        <v>71</v>
      </c>
    </row>
    <row r="1462" spans="1:8" x14ac:dyDescent="0.2">
      <c r="A1462" t="s">
        <v>8</v>
      </c>
      <c r="B1462" t="s">
        <v>9</v>
      </c>
    </row>
    <row r="1463" spans="1:8" x14ac:dyDescent="0.2">
      <c r="A1463" t="s">
        <v>10</v>
      </c>
      <c r="B1463" t="s">
        <v>10</v>
      </c>
    </row>
    <row r="1464" spans="1:8" x14ac:dyDescent="0.2">
      <c r="A1464" t="s">
        <v>11</v>
      </c>
      <c r="B1464" t="s">
        <v>12</v>
      </c>
    </row>
    <row r="1465" spans="1:8" x14ac:dyDescent="0.2">
      <c r="A1465" t="s">
        <v>13</v>
      </c>
      <c r="B1465" t="s">
        <v>291</v>
      </c>
    </row>
    <row r="1466" spans="1:8" x14ac:dyDescent="0.2">
      <c r="A1466" t="s">
        <v>14</v>
      </c>
      <c r="B1466" t="s">
        <v>271</v>
      </c>
    </row>
    <row r="1467" spans="1:8" x14ac:dyDescent="0.2">
      <c r="A1467" t="s">
        <v>16</v>
      </c>
      <c r="B1467" t="s">
        <v>15</v>
      </c>
    </row>
    <row r="1468" spans="1:8" x14ac:dyDescent="0.2">
      <c r="A1468" t="s">
        <v>17</v>
      </c>
      <c r="B1468" t="s">
        <v>116</v>
      </c>
    </row>
    <row r="1469" spans="1:8" ht="16" x14ac:dyDescent="0.2">
      <c r="A1469" s="1" t="s">
        <v>18</v>
      </c>
    </row>
    <row r="1470" spans="1:8" x14ac:dyDescent="0.2">
      <c r="A1470" t="s">
        <v>19</v>
      </c>
      <c r="B1470" t="s">
        <v>20</v>
      </c>
      <c r="C1470" t="s">
        <v>5</v>
      </c>
      <c r="D1470" t="s">
        <v>10</v>
      </c>
      <c r="E1470" t="s">
        <v>22</v>
      </c>
      <c r="F1470" t="s">
        <v>8</v>
      </c>
      <c r="G1470" t="s">
        <v>7</v>
      </c>
      <c r="H1470" t="s">
        <v>23</v>
      </c>
    </row>
    <row r="1471" spans="1:8" x14ac:dyDescent="0.2">
      <c r="A1471" t="s">
        <v>610</v>
      </c>
      <c r="B1471">
        <f>19.7</f>
        <v>19.7</v>
      </c>
      <c r="C1471" t="s">
        <v>33</v>
      </c>
      <c r="D1471" t="s">
        <v>39</v>
      </c>
      <c r="F1471" t="s">
        <v>28</v>
      </c>
      <c r="G1471" t="s">
        <v>611</v>
      </c>
      <c r="H1471" t="s">
        <v>34</v>
      </c>
    </row>
    <row r="1472" spans="1:8" x14ac:dyDescent="0.2">
      <c r="A1472" t="s">
        <v>61</v>
      </c>
      <c r="B1472">
        <v>196.19565217391309</v>
      </c>
      <c r="C1472" t="s">
        <v>33</v>
      </c>
      <c r="D1472" t="s">
        <v>27</v>
      </c>
      <c r="E1472" t="s">
        <v>15</v>
      </c>
      <c r="F1472" t="s">
        <v>28</v>
      </c>
      <c r="G1472" t="s">
        <v>61</v>
      </c>
      <c r="H1472" t="s">
        <v>62</v>
      </c>
    </row>
    <row r="1473" spans="1:8" x14ac:dyDescent="0.2">
      <c r="A1473" t="s">
        <v>278</v>
      </c>
      <c r="B1473">
        <v>40.055914257837571</v>
      </c>
      <c r="C1473" t="s">
        <v>33</v>
      </c>
      <c r="D1473" t="s">
        <v>27</v>
      </c>
      <c r="E1473" t="s">
        <v>15</v>
      </c>
      <c r="F1473" t="s">
        <v>28</v>
      </c>
      <c r="G1473" t="s">
        <v>279</v>
      </c>
      <c r="H1473" t="s">
        <v>275</v>
      </c>
    </row>
    <row r="1474" spans="1:8" x14ac:dyDescent="0.2">
      <c r="A1474" t="s">
        <v>272</v>
      </c>
      <c r="B1474">
        <v>1900</v>
      </c>
      <c r="C1474" t="s">
        <v>33</v>
      </c>
      <c r="D1474" t="s">
        <v>27</v>
      </c>
      <c r="E1474" t="s">
        <v>15</v>
      </c>
      <c r="F1474" t="s">
        <v>28</v>
      </c>
      <c r="G1474" t="s">
        <v>273</v>
      </c>
      <c r="H1474" t="s">
        <v>62</v>
      </c>
    </row>
    <row r="1475" spans="1:8" x14ac:dyDescent="0.2">
      <c r="A1475" t="s">
        <v>274</v>
      </c>
      <c r="B1475">
        <v>288.37646690979108</v>
      </c>
      <c r="C1475" t="s">
        <v>33</v>
      </c>
      <c r="D1475" t="s">
        <v>27</v>
      </c>
      <c r="E1475" t="s">
        <v>15</v>
      </c>
      <c r="F1475" t="s">
        <v>28</v>
      </c>
      <c r="G1475" t="s">
        <v>500</v>
      </c>
      <c r="H1475" t="s">
        <v>275</v>
      </c>
    </row>
    <row r="1476" spans="1:8" x14ac:dyDescent="0.2">
      <c r="A1476" t="s">
        <v>287</v>
      </c>
      <c r="B1476">
        <v>8.9706521739130434</v>
      </c>
      <c r="C1476" t="s">
        <v>33</v>
      </c>
      <c r="D1476" t="s">
        <v>27</v>
      </c>
      <c r="E1476" t="s">
        <v>15</v>
      </c>
      <c r="F1476" t="s">
        <v>28</v>
      </c>
      <c r="G1476" t="s">
        <v>288</v>
      </c>
      <c r="H1476" t="s">
        <v>34</v>
      </c>
    </row>
    <row r="1477" spans="1:8" x14ac:dyDescent="0.2">
      <c r="A1477" t="s">
        <v>289</v>
      </c>
      <c r="B1477">
        <v>3.9869565217391298</v>
      </c>
      <c r="C1477" t="s">
        <v>33</v>
      </c>
      <c r="D1477" t="s">
        <v>27</v>
      </c>
      <c r="E1477" t="s">
        <v>15</v>
      </c>
      <c r="F1477" t="s">
        <v>28</v>
      </c>
      <c r="G1477" t="s">
        <v>290</v>
      </c>
      <c r="H1477" t="s">
        <v>34</v>
      </c>
    </row>
    <row r="1478" spans="1:8" x14ac:dyDescent="0.2">
      <c r="A1478" t="s">
        <v>280</v>
      </c>
      <c r="B1478">
        <v>-53.013522953489741</v>
      </c>
      <c r="C1478" t="s">
        <v>33</v>
      </c>
      <c r="D1478" t="s">
        <v>27</v>
      </c>
      <c r="E1478" t="s">
        <v>15</v>
      </c>
      <c r="F1478" t="s">
        <v>28</v>
      </c>
      <c r="G1478" t="s">
        <v>281</v>
      </c>
      <c r="H1478" t="s">
        <v>282</v>
      </c>
    </row>
    <row r="1479" spans="1:8" x14ac:dyDescent="0.2">
      <c r="A1479" t="s">
        <v>60</v>
      </c>
      <c r="B1479">
        <v>41.958333333333343</v>
      </c>
      <c r="C1479" t="s">
        <v>26</v>
      </c>
      <c r="D1479" t="s">
        <v>27</v>
      </c>
      <c r="E1479" t="s">
        <v>15</v>
      </c>
      <c r="F1479" t="s">
        <v>28</v>
      </c>
      <c r="G1479" t="s">
        <v>54</v>
      </c>
      <c r="H1479" t="s">
        <v>34</v>
      </c>
    </row>
    <row r="1480" spans="1:8" x14ac:dyDescent="0.2">
      <c r="A1480" t="s">
        <v>276</v>
      </c>
      <c r="B1480">
        <v>-1745.76268115942</v>
      </c>
      <c r="C1480" t="s">
        <v>33</v>
      </c>
      <c r="D1480" t="s">
        <v>27</v>
      </c>
      <c r="E1480" t="s">
        <v>15</v>
      </c>
      <c r="F1480" t="s">
        <v>28</v>
      </c>
      <c r="G1480" t="s">
        <v>277</v>
      </c>
      <c r="H1480" t="s">
        <v>25</v>
      </c>
    </row>
    <row r="1481" spans="1:8" x14ac:dyDescent="0.2">
      <c r="A1481" t="s">
        <v>501</v>
      </c>
      <c r="B1481">
        <v>-288.37646690979108</v>
      </c>
      <c r="C1481" t="s">
        <v>33</v>
      </c>
      <c r="D1481" t="s">
        <v>27</v>
      </c>
      <c r="E1481" t="s">
        <v>15</v>
      </c>
      <c r="F1481" t="s">
        <v>28</v>
      </c>
      <c r="G1481" t="s">
        <v>502</v>
      </c>
      <c r="H1481" t="s">
        <v>25</v>
      </c>
    </row>
    <row r="1482" spans="1:8" x14ac:dyDescent="0.2">
      <c r="A1482" t="s">
        <v>56</v>
      </c>
      <c r="B1482">
        <v>118.4301544244878</v>
      </c>
      <c r="C1482" t="s">
        <v>63</v>
      </c>
      <c r="D1482" t="s">
        <v>39</v>
      </c>
      <c r="E1482" t="s">
        <v>15</v>
      </c>
      <c r="F1482" t="s">
        <v>28</v>
      </c>
      <c r="G1482" t="s">
        <v>58</v>
      </c>
      <c r="H1482" t="s">
        <v>34</v>
      </c>
    </row>
    <row r="1483" spans="1:8" x14ac:dyDescent="0.2">
      <c r="A1483" t="s">
        <v>360</v>
      </c>
      <c r="B1483">
        <v>1</v>
      </c>
      <c r="C1483" t="s">
        <v>26</v>
      </c>
      <c r="D1483" t="s">
        <v>10</v>
      </c>
      <c r="E1483" t="s">
        <v>15</v>
      </c>
      <c r="F1483" t="s">
        <v>24</v>
      </c>
      <c r="G1483" t="s">
        <v>71</v>
      </c>
      <c r="H1483" t="s">
        <v>25</v>
      </c>
    </row>
    <row r="1485" spans="1:8" ht="16" x14ac:dyDescent="0.2">
      <c r="A1485" s="1" t="s">
        <v>4</v>
      </c>
      <c r="B1485" s="1" t="s">
        <v>304</v>
      </c>
    </row>
    <row r="1486" spans="1:8" x14ac:dyDescent="0.2">
      <c r="A1486" t="s">
        <v>5</v>
      </c>
      <c r="B1486" t="s">
        <v>26</v>
      </c>
    </row>
    <row r="1487" spans="1:8" x14ac:dyDescent="0.2">
      <c r="A1487" t="s">
        <v>6</v>
      </c>
      <c r="B1487">
        <v>1</v>
      </c>
    </row>
    <row r="1488" spans="1:8" x14ac:dyDescent="0.2">
      <c r="A1488" t="s">
        <v>7</v>
      </c>
      <c r="B1488" t="s">
        <v>73</v>
      </c>
    </row>
    <row r="1489" spans="1:8" x14ac:dyDescent="0.2">
      <c r="A1489" t="s">
        <v>8</v>
      </c>
      <c r="B1489" t="s">
        <v>9</v>
      </c>
    </row>
    <row r="1490" spans="1:8" x14ac:dyDescent="0.2">
      <c r="A1490" t="s">
        <v>10</v>
      </c>
      <c r="B1490" t="s">
        <v>10</v>
      </c>
    </row>
    <row r="1491" spans="1:8" x14ac:dyDescent="0.2">
      <c r="A1491" t="s">
        <v>11</v>
      </c>
      <c r="B1491" t="s">
        <v>12</v>
      </c>
    </row>
    <row r="1492" spans="1:8" x14ac:dyDescent="0.2">
      <c r="A1492" t="s">
        <v>13</v>
      </c>
      <c r="B1492" t="s">
        <v>291</v>
      </c>
    </row>
    <row r="1493" spans="1:8" x14ac:dyDescent="0.2">
      <c r="A1493" t="s">
        <v>14</v>
      </c>
      <c r="B1493" t="s">
        <v>271</v>
      </c>
    </row>
    <row r="1494" spans="1:8" x14ac:dyDescent="0.2">
      <c r="A1494" t="s">
        <v>16</v>
      </c>
      <c r="B1494" t="s">
        <v>15</v>
      </c>
    </row>
    <row r="1495" spans="1:8" x14ac:dyDescent="0.2">
      <c r="A1495" t="s">
        <v>17</v>
      </c>
      <c r="B1495" t="s">
        <v>117</v>
      </c>
    </row>
    <row r="1496" spans="1:8" ht="16" x14ac:dyDescent="0.2">
      <c r="A1496" s="1" t="s">
        <v>18</v>
      </c>
    </row>
    <row r="1497" spans="1:8" x14ac:dyDescent="0.2">
      <c r="A1497" t="s">
        <v>19</v>
      </c>
      <c r="B1497" t="s">
        <v>20</v>
      </c>
      <c r="C1497" t="s">
        <v>5</v>
      </c>
      <c r="D1497" t="s">
        <v>10</v>
      </c>
      <c r="E1497" t="s">
        <v>22</v>
      </c>
      <c r="F1497" t="s">
        <v>8</v>
      </c>
      <c r="G1497" t="s">
        <v>7</v>
      </c>
      <c r="H1497" t="s">
        <v>23</v>
      </c>
    </row>
    <row r="1498" spans="1:8" x14ac:dyDescent="0.2">
      <c r="A1498" t="s">
        <v>610</v>
      </c>
      <c r="B1498">
        <f>19</f>
        <v>19</v>
      </c>
      <c r="C1498" t="s">
        <v>33</v>
      </c>
      <c r="D1498" t="s">
        <v>39</v>
      </c>
      <c r="F1498" t="s">
        <v>28</v>
      </c>
      <c r="G1498" t="s">
        <v>611</v>
      </c>
      <c r="H1498" t="s">
        <v>34</v>
      </c>
    </row>
    <row r="1499" spans="1:8" x14ac:dyDescent="0.2">
      <c r="A1499" t="s">
        <v>61</v>
      </c>
      <c r="B1499">
        <v>202.39130434782609</v>
      </c>
      <c r="C1499" t="s">
        <v>33</v>
      </c>
      <c r="D1499" t="s">
        <v>27</v>
      </c>
      <c r="E1499" t="s">
        <v>15</v>
      </c>
      <c r="F1499" t="s">
        <v>28</v>
      </c>
      <c r="G1499" t="s">
        <v>61</v>
      </c>
      <c r="H1499" t="s">
        <v>62</v>
      </c>
    </row>
    <row r="1500" spans="1:8" x14ac:dyDescent="0.2">
      <c r="A1500" t="s">
        <v>278</v>
      </c>
      <c r="B1500">
        <v>39.578829848227358</v>
      </c>
      <c r="C1500" t="s">
        <v>33</v>
      </c>
      <c r="D1500" t="s">
        <v>27</v>
      </c>
      <c r="E1500" t="s">
        <v>15</v>
      </c>
      <c r="F1500" t="s">
        <v>28</v>
      </c>
      <c r="G1500" t="s">
        <v>279</v>
      </c>
      <c r="H1500" t="s">
        <v>275</v>
      </c>
    </row>
    <row r="1501" spans="1:8" x14ac:dyDescent="0.2">
      <c r="A1501" t="s">
        <v>272</v>
      </c>
      <c r="B1501">
        <v>1900</v>
      </c>
      <c r="C1501" t="s">
        <v>33</v>
      </c>
      <c r="D1501" t="s">
        <v>27</v>
      </c>
      <c r="E1501" t="s">
        <v>15</v>
      </c>
      <c r="F1501" t="s">
        <v>28</v>
      </c>
      <c r="G1501" t="s">
        <v>273</v>
      </c>
      <c r="H1501" t="s">
        <v>62</v>
      </c>
    </row>
    <row r="1502" spans="1:8" x14ac:dyDescent="0.2">
      <c r="A1502" t="s">
        <v>274</v>
      </c>
      <c r="B1502">
        <v>285.18293200350888</v>
      </c>
      <c r="C1502" t="s">
        <v>33</v>
      </c>
      <c r="D1502" t="s">
        <v>27</v>
      </c>
      <c r="E1502" t="s">
        <v>15</v>
      </c>
      <c r="F1502" t="s">
        <v>28</v>
      </c>
      <c r="G1502" t="s">
        <v>500</v>
      </c>
      <c r="H1502" t="s">
        <v>275</v>
      </c>
    </row>
    <row r="1503" spans="1:8" x14ac:dyDescent="0.2">
      <c r="A1503" t="s">
        <v>287</v>
      </c>
      <c r="B1503">
        <v>8.9413043478260867</v>
      </c>
      <c r="C1503" t="s">
        <v>33</v>
      </c>
      <c r="D1503" t="s">
        <v>27</v>
      </c>
      <c r="E1503" t="s">
        <v>15</v>
      </c>
      <c r="F1503" t="s">
        <v>28</v>
      </c>
      <c r="G1503" t="s">
        <v>288</v>
      </c>
      <c r="H1503" t="s">
        <v>34</v>
      </c>
    </row>
    <row r="1504" spans="1:8" x14ac:dyDescent="0.2">
      <c r="A1504" t="s">
        <v>289</v>
      </c>
      <c r="B1504">
        <v>3.973913043478261</v>
      </c>
      <c r="C1504" t="s">
        <v>33</v>
      </c>
      <c r="D1504" t="s">
        <v>27</v>
      </c>
      <c r="E1504" t="s">
        <v>15</v>
      </c>
      <c r="F1504" t="s">
        <v>28</v>
      </c>
      <c r="G1504" t="s">
        <v>290</v>
      </c>
      <c r="H1504" t="s">
        <v>34</v>
      </c>
    </row>
    <row r="1505" spans="1:8" x14ac:dyDescent="0.2">
      <c r="A1505" t="s">
        <v>280</v>
      </c>
      <c r="B1505">
        <v>-52.494047239531703</v>
      </c>
      <c r="C1505" t="s">
        <v>33</v>
      </c>
      <c r="D1505" t="s">
        <v>27</v>
      </c>
      <c r="E1505" t="s">
        <v>15</v>
      </c>
      <c r="F1505" t="s">
        <v>28</v>
      </c>
      <c r="G1505" t="s">
        <v>281</v>
      </c>
      <c r="H1505" t="s">
        <v>282</v>
      </c>
    </row>
    <row r="1506" spans="1:8" x14ac:dyDescent="0.2">
      <c r="A1506" t="s">
        <v>60</v>
      </c>
      <c r="B1506">
        <v>39.75</v>
      </c>
      <c r="C1506" t="s">
        <v>26</v>
      </c>
      <c r="D1506" t="s">
        <v>27</v>
      </c>
      <c r="E1506" t="s">
        <v>15</v>
      </c>
      <c r="F1506" t="s">
        <v>28</v>
      </c>
      <c r="G1506" t="s">
        <v>54</v>
      </c>
      <c r="H1506" t="s">
        <v>34</v>
      </c>
    </row>
    <row r="1507" spans="1:8" x14ac:dyDescent="0.2">
      <c r="A1507" t="s">
        <v>276</v>
      </c>
      <c r="B1507">
        <v>-1737.358695652174</v>
      </c>
      <c r="C1507" t="s">
        <v>33</v>
      </c>
      <c r="D1507" t="s">
        <v>27</v>
      </c>
      <c r="E1507" t="s">
        <v>15</v>
      </c>
      <c r="F1507" t="s">
        <v>28</v>
      </c>
      <c r="G1507" t="s">
        <v>277</v>
      </c>
      <c r="H1507" t="s">
        <v>25</v>
      </c>
    </row>
    <row r="1508" spans="1:8" x14ac:dyDescent="0.2">
      <c r="A1508" t="s">
        <v>501</v>
      </c>
      <c r="B1508">
        <v>-285.18293200350888</v>
      </c>
      <c r="C1508" t="s">
        <v>33</v>
      </c>
      <c r="D1508" t="s">
        <v>27</v>
      </c>
      <c r="E1508" t="s">
        <v>15</v>
      </c>
      <c r="F1508" t="s">
        <v>28</v>
      </c>
      <c r="G1508" t="s">
        <v>502</v>
      </c>
      <c r="H1508" t="s">
        <v>25</v>
      </c>
    </row>
    <row r="1509" spans="1:8" x14ac:dyDescent="0.2">
      <c r="A1509" t="s">
        <v>56</v>
      </c>
      <c r="B1509">
        <v>75.969483511710948</v>
      </c>
      <c r="C1509" t="s">
        <v>63</v>
      </c>
      <c r="D1509" t="s">
        <v>39</v>
      </c>
      <c r="E1509" t="s">
        <v>15</v>
      </c>
      <c r="F1509" t="s">
        <v>28</v>
      </c>
      <c r="G1509" t="s">
        <v>58</v>
      </c>
      <c r="H1509" t="s">
        <v>34</v>
      </c>
    </row>
    <row r="1510" spans="1:8" x14ac:dyDescent="0.2">
      <c r="A1510" t="s">
        <v>304</v>
      </c>
      <c r="B1510">
        <v>1</v>
      </c>
      <c r="C1510" t="s">
        <v>26</v>
      </c>
      <c r="D1510" t="s">
        <v>10</v>
      </c>
      <c r="E1510" t="s">
        <v>15</v>
      </c>
      <c r="F1510" t="s">
        <v>24</v>
      </c>
      <c r="G1510" t="s">
        <v>73</v>
      </c>
      <c r="H1510" t="s">
        <v>25</v>
      </c>
    </row>
    <row r="1513" spans="1:8" ht="16" x14ac:dyDescent="0.2">
      <c r="A1513" s="1" t="s">
        <v>4</v>
      </c>
      <c r="B1513" s="1" t="s">
        <v>361</v>
      </c>
    </row>
    <row r="1514" spans="1:8" x14ac:dyDescent="0.2">
      <c r="A1514" t="s">
        <v>5</v>
      </c>
      <c r="B1514" t="s">
        <v>26</v>
      </c>
    </row>
    <row r="1515" spans="1:8" x14ac:dyDescent="0.2">
      <c r="A1515" t="s">
        <v>6</v>
      </c>
      <c r="B1515">
        <v>1</v>
      </c>
    </row>
    <row r="1516" spans="1:8" x14ac:dyDescent="0.2">
      <c r="A1516" t="s">
        <v>7</v>
      </c>
      <c r="B1516" t="s">
        <v>71</v>
      </c>
    </row>
    <row r="1517" spans="1:8" x14ac:dyDescent="0.2">
      <c r="A1517" t="s">
        <v>8</v>
      </c>
      <c r="B1517" t="s">
        <v>9</v>
      </c>
    </row>
    <row r="1518" spans="1:8" x14ac:dyDescent="0.2">
      <c r="A1518" t="s">
        <v>10</v>
      </c>
      <c r="B1518" t="s">
        <v>10</v>
      </c>
    </row>
    <row r="1519" spans="1:8" x14ac:dyDescent="0.2">
      <c r="A1519" t="s">
        <v>11</v>
      </c>
      <c r="B1519" t="s">
        <v>12</v>
      </c>
    </row>
    <row r="1520" spans="1:8" x14ac:dyDescent="0.2">
      <c r="A1520" t="s">
        <v>13</v>
      </c>
      <c r="B1520" t="s">
        <v>291</v>
      </c>
    </row>
    <row r="1521" spans="1:8" x14ac:dyDescent="0.2">
      <c r="A1521" t="s">
        <v>14</v>
      </c>
      <c r="B1521" t="s">
        <v>271</v>
      </c>
    </row>
    <row r="1522" spans="1:8" x14ac:dyDescent="0.2">
      <c r="A1522" t="s">
        <v>16</v>
      </c>
      <c r="B1522" t="s">
        <v>15</v>
      </c>
    </row>
    <row r="1523" spans="1:8" x14ac:dyDescent="0.2">
      <c r="A1523" t="s">
        <v>17</v>
      </c>
      <c r="B1523" t="s">
        <v>118</v>
      </c>
    </row>
    <row r="1524" spans="1:8" ht="16" x14ac:dyDescent="0.2">
      <c r="A1524" s="1" t="s">
        <v>18</v>
      </c>
    </row>
    <row r="1525" spans="1:8" x14ac:dyDescent="0.2">
      <c r="A1525" t="s">
        <v>19</v>
      </c>
      <c r="B1525" t="s">
        <v>20</v>
      </c>
      <c r="C1525" t="s">
        <v>5</v>
      </c>
      <c r="D1525" t="s">
        <v>10</v>
      </c>
      <c r="E1525" t="s">
        <v>22</v>
      </c>
      <c r="F1525" t="s">
        <v>8</v>
      </c>
      <c r="G1525" t="s">
        <v>7</v>
      </c>
      <c r="H1525" t="s">
        <v>23</v>
      </c>
    </row>
    <row r="1526" spans="1:8" x14ac:dyDescent="0.2">
      <c r="A1526" t="s">
        <v>610</v>
      </c>
      <c r="B1526">
        <f>19.7</f>
        <v>19.7</v>
      </c>
      <c r="C1526" t="s">
        <v>33</v>
      </c>
      <c r="D1526" t="s">
        <v>39</v>
      </c>
      <c r="F1526" t="s">
        <v>28</v>
      </c>
      <c r="G1526" t="s">
        <v>611</v>
      </c>
      <c r="H1526" t="s">
        <v>34</v>
      </c>
    </row>
    <row r="1527" spans="1:8" x14ac:dyDescent="0.2">
      <c r="A1527" t="s">
        <v>61</v>
      </c>
      <c r="B1527">
        <v>196.19565217391309</v>
      </c>
      <c r="C1527" t="s">
        <v>33</v>
      </c>
      <c r="D1527" t="s">
        <v>27</v>
      </c>
      <c r="E1527" t="s">
        <v>15</v>
      </c>
      <c r="F1527" t="s">
        <v>28</v>
      </c>
      <c r="G1527" t="s">
        <v>61</v>
      </c>
      <c r="H1527" t="s">
        <v>62</v>
      </c>
    </row>
    <row r="1528" spans="1:8" x14ac:dyDescent="0.2">
      <c r="A1528" t="s">
        <v>278</v>
      </c>
      <c r="B1528">
        <v>40.060072682159877</v>
      </c>
      <c r="C1528" t="s">
        <v>33</v>
      </c>
      <c r="D1528" t="s">
        <v>27</v>
      </c>
      <c r="E1528" t="s">
        <v>15</v>
      </c>
      <c r="F1528" t="s">
        <v>28</v>
      </c>
      <c r="G1528" t="s">
        <v>279</v>
      </c>
      <c r="H1528" t="s">
        <v>275</v>
      </c>
    </row>
    <row r="1529" spans="1:8" x14ac:dyDescent="0.2">
      <c r="A1529" t="s">
        <v>272</v>
      </c>
      <c r="B1529">
        <v>1900</v>
      </c>
      <c r="C1529" t="s">
        <v>33</v>
      </c>
      <c r="D1529" t="s">
        <v>27</v>
      </c>
      <c r="E1529" t="s">
        <v>15</v>
      </c>
      <c r="F1529" t="s">
        <v>28</v>
      </c>
      <c r="G1529" t="s">
        <v>273</v>
      </c>
      <c r="H1529" t="s">
        <v>62</v>
      </c>
    </row>
    <row r="1530" spans="1:8" x14ac:dyDescent="0.2">
      <c r="A1530" t="s">
        <v>274</v>
      </c>
      <c r="B1530">
        <v>288.41203951785258</v>
      </c>
      <c r="C1530" t="s">
        <v>33</v>
      </c>
      <c r="D1530" t="s">
        <v>27</v>
      </c>
      <c r="E1530" t="s">
        <v>15</v>
      </c>
      <c r="F1530" t="s">
        <v>28</v>
      </c>
      <c r="G1530" t="s">
        <v>500</v>
      </c>
      <c r="H1530" t="s">
        <v>275</v>
      </c>
    </row>
    <row r="1531" spans="1:8" x14ac:dyDescent="0.2">
      <c r="A1531" t="s">
        <v>287</v>
      </c>
      <c r="B1531">
        <v>8.9706521739130434</v>
      </c>
      <c r="C1531" t="s">
        <v>33</v>
      </c>
      <c r="D1531" t="s">
        <v>27</v>
      </c>
      <c r="E1531" t="s">
        <v>15</v>
      </c>
      <c r="F1531" t="s">
        <v>28</v>
      </c>
      <c r="G1531" t="s">
        <v>288</v>
      </c>
      <c r="H1531" t="s">
        <v>34</v>
      </c>
    </row>
    <row r="1532" spans="1:8" x14ac:dyDescent="0.2">
      <c r="A1532" t="s">
        <v>289</v>
      </c>
      <c r="B1532">
        <v>3.9869565217391298</v>
      </c>
      <c r="C1532" t="s">
        <v>33</v>
      </c>
      <c r="D1532" t="s">
        <v>27</v>
      </c>
      <c r="E1532" t="s">
        <v>15</v>
      </c>
      <c r="F1532" t="s">
        <v>28</v>
      </c>
      <c r="G1532" t="s">
        <v>290</v>
      </c>
      <c r="H1532" t="s">
        <v>34</v>
      </c>
    </row>
    <row r="1533" spans="1:8" x14ac:dyDescent="0.2">
      <c r="A1533" t="s">
        <v>280</v>
      </c>
      <c r="B1533">
        <v>-53.017681377812053</v>
      </c>
      <c r="C1533" t="s">
        <v>33</v>
      </c>
      <c r="D1533" t="s">
        <v>27</v>
      </c>
      <c r="E1533" t="s">
        <v>15</v>
      </c>
      <c r="F1533" t="s">
        <v>28</v>
      </c>
      <c r="G1533" t="s">
        <v>281</v>
      </c>
      <c r="H1533" t="s">
        <v>282</v>
      </c>
    </row>
    <row r="1534" spans="1:8" x14ac:dyDescent="0.2">
      <c r="A1534" t="s">
        <v>60</v>
      </c>
      <c r="B1534">
        <v>42.354166666666657</v>
      </c>
      <c r="C1534" t="s">
        <v>26</v>
      </c>
      <c r="D1534" t="s">
        <v>27</v>
      </c>
      <c r="E1534" t="s">
        <v>15</v>
      </c>
      <c r="F1534" t="s">
        <v>28</v>
      </c>
      <c r="G1534" t="s">
        <v>54</v>
      </c>
      <c r="H1534" t="s">
        <v>34</v>
      </c>
    </row>
    <row r="1535" spans="1:8" x14ac:dyDescent="0.2">
      <c r="A1535" t="s">
        <v>276</v>
      </c>
      <c r="B1535">
        <v>-1746.158514492754</v>
      </c>
      <c r="C1535" t="s">
        <v>33</v>
      </c>
      <c r="D1535" t="s">
        <v>27</v>
      </c>
      <c r="E1535" t="s">
        <v>15</v>
      </c>
      <c r="F1535" t="s">
        <v>28</v>
      </c>
      <c r="G1535" t="s">
        <v>277</v>
      </c>
      <c r="H1535" t="s">
        <v>25</v>
      </c>
    </row>
    <row r="1536" spans="1:8" x14ac:dyDescent="0.2">
      <c r="A1536" t="s">
        <v>501</v>
      </c>
      <c r="B1536">
        <v>-288.41203951785258</v>
      </c>
      <c r="C1536" t="s">
        <v>33</v>
      </c>
      <c r="D1536" t="s">
        <v>27</v>
      </c>
      <c r="E1536" t="s">
        <v>15</v>
      </c>
      <c r="F1536" t="s">
        <v>28</v>
      </c>
      <c r="G1536" t="s">
        <v>502</v>
      </c>
      <c r="H1536" t="s">
        <v>25</v>
      </c>
    </row>
    <row r="1537" spans="1:8" x14ac:dyDescent="0.2">
      <c r="A1537" t="s">
        <v>56</v>
      </c>
      <c r="B1537">
        <v>118.4543170584448</v>
      </c>
      <c r="C1537" t="s">
        <v>63</v>
      </c>
      <c r="D1537" t="s">
        <v>39</v>
      </c>
      <c r="E1537" t="s">
        <v>15</v>
      </c>
      <c r="F1537" t="s">
        <v>28</v>
      </c>
      <c r="G1537" t="s">
        <v>58</v>
      </c>
      <c r="H1537" t="s">
        <v>34</v>
      </c>
    </row>
    <row r="1538" spans="1:8" x14ac:dyDescent="0.2">
      <c r="A1538" t="s">
        <v>361</v>
      </c>
      <c r="B1538">
        <v>1</v>
      </c>
      <c r="C1538" t="s">
        <v>26</v>
      </c>
      <c r="D1538" t="s">
        <v>10</v>
      </c>
      <c r="E1538" t="s">
        <v>15</v>
      </c>
      <c r="F1538" t="s">
        <v>24</v>
      </c>
      <c r="G1538" t="s">
        <v>71</v>
      </c>
      <c r="H1538" t="s">
        <v>25</v>
      </c>
    </row>
    <row r="1540" spans="1:8" ht="16" x14ac:dyDescent="0.2">
      <c r="A1540" s="1" t="s">
        <v>4</v>
      </c>
      <c r="B1540" s="1" t="s">
        <v>305</v>
      </c>
    </row>
    <row r="1541" spans="1:8" x14ac:dyDescent="0.2">
      <c r="A1541" t="s">
        <v>5</v>
      </c>
      <c r="B1541" t="s">
        <v>26</v>
      </c>
    </row>
    <row r="1542" spans="1:8" x14ac:dyDescent="0.2">
      <c r="A1542" t="s">
        <v>6</v>
      </c>
      <c r="B1542">
        <v>1</v>
      </c>
    </row>
    <row r="1543" spans="1:8" x14ac:dyDescent="0.2">
      <c r="A1543" t="s">
        <v>7</v>
      </c>
      <c r="B1543" t="s">
        <v>73</v>
      </c>
    </row>
    <row r="1544" spans="1:8" x14ac:dyDescent="0.2">
      <c r="A1544" t="s">
        <v>8</v>
      </c>
      <c r="B1544" t="s">
        <v>9</v>
      </c>
    </row>
    <row r="1545" spans="1:8" x14ac:dyDescent="0.2">
      <c r="A1545" t="s">
        <v>10</v>
      </c>
      <c r="B1545" t="s">
        <v>10</v>
      </c>
    </row>
    <row r="1546" spans="1:8" x14ac:dyDescent="0.2">
      <c r="A1546" t="s">
        <v>11</v>
      </c>
      <c r="B1546" t="s">
        <v>12</v>
      </c>
    </row>
    <row r="1547" spans="1:8" x14ac:dyDescent="0.2">
      <c r="A1547" t="s">
        <v>13</v>
      </c>
      <c r="B1547" t="s">
        <v>291</v>
      </c>
    </row>
    <row r="1548" spans="1:8" x14ac:dyDescent="0.2">
      <c r="A1548" t="s">
        <v>14</v>
      </c>
      <c r="B1548" t="s">
        <v>271</v>
      </c>
    </row>
    <row r="1549" spans="1:8" x14ac:dyDescent="0.2">
      <c r="A1549" t="s">
        <v>16</v>
      </c>
      <c r="B1549" t="s">
        <v>15</v>
      </c>
    </row>
    <row r="1550" spans="1:8" x14ac:dyDescent="0.2">
      <c r="A1550" t="s">
        <v>17</v>
      </c>
      <c r="B1550" t="s">
        <v>119</v>
      </c>
    </row>
    <row r="1551" spans="1:8" ht="16" x14ac:dyDescent="0.2">
      <c r="A1551" s="1" t="s">
        <v>18</v>
      </c>
    </row>
    <row r="1552" spans="1:8" x14ac:dyDescent="0.2">
      <c r="A1552" t="s">
        <v>19</v>
      </c>
      <c r="B1552" t="s">
        <v>20</v>
      </c>
      <c r="C1552" t="s">
        <v>5</v>
      </c>
      <c r="D1552" t="s">
        <v>10</v>
      </c>
      <c r="E1552" t="s">
        <v>22</v>
      </c>
      <c r="F1552" t="s">
        <v>8</v>
      </c>
      <c r="G1552" t="s">
        <v>7</v>
      </c>
      <c r="H1552" t="s">
        <v>23</v>
      </c>
    </row>
    <row r="1553" spans="1:8" x14ac:dyDescent="0.2">
      <c r="A1553" t="s">
        <v>610</v>
      </c>
      <c r="B1553">
        <f>19</f>
        <v>19</v>
      </c>
      <c r="C1553" t="s">
        <v>33</v>
      </c>
      <c r="D1553" t="s">
        <v>39</v>
      </c>
      <c r="F1553" t="s">
        <v>28</v>
      </c>
      <c r="G1553" t="s">
        <v>611</v>
      </c>
      <c r="H1553" t="s">
        <v>34</v>
      </c>
    </row>
    <row r="1554" spans="1:8" x14ac:dyDescent="0.2">
      <c r="A1554" t="s">
        <v>61</v>
      </c>
      <c r="B1554">
        <v>202.39130434782609</v>
      </c>
      <c r="C1554" t="s">
        <v>33</v>
      </c>
      <c r="D1554" t="s">
        <v>27</v>
      </c>
      <c r="E1554" t="s">
        <v>15</v>
      </c>
      <c r="F1554" t="s">
        <v>28</v>
      </c>
      <c r="G1554" t="s">
        <v>61</v>
      </c>
      <c r="H1554" t="s">
        <v>62</v>
      </c>
    </row>
    <row r="1555" spans="1:8" x14ac:dyDescent="0.2">
      <c r="A1555" t="s">
        <v>278</v>
      </c>
      <c r="B1555">
        <v>39.582765088123878</v>
      </c>
      <c r="C1555" t="s">
        <v>33</v>
      </c>
      <c r="D1555" t="s">
        <v>27</v>
      </c>
      <c r="E1555" t="s">
        <v>15</v>
      </c>
      <c r="F1555" t="s">
        <v>28</v>
      </c>
      <c r="G1555" t="s">
        <v>279</v>
      </c>
      <c r="H1555" t="s">
        <v>275</v>
      </c>
    </row>
    <row r="1556" spans="1:8" x14ac:dyDescent="0.2">
      <c r="A1556" t="s">
        <v>272</v>
      </c>
      <c r="B1556">
        <v>1900</v>
      </c>
      <c r="C1556" t="s">
        <v>33</v>
      </c>
      <c r="D1556" t="s">
        <v>27</v>
      </c>
      <c r="E1556" t="s">
        <v>15</v>
      </c>
      <c r="F1556" t="s">
        <v>28</v>
      </c>
      <c r="G1556" t="s">
        <v>273</v>
      </c>
      <c r="H1556" t="s">
        <v>62</v>
      </c>
    </row>
    <row r="1557" spans="1:8" x14ac:dyDescent="0.2">
      <c r="A1557" t="s">
        <v>274</v>
      </c>
      <c r="B1557">
        <v>285.21641576210658</v>
      </c>
      <c r="C1557" t="s">
        <v>33</v>
      </c>
      <c r="D1557" t="s">
        <v>27</v>
      </c>
      <c r="E1557" t="s">
        <v>15</v>
      </c>
      <c r="F1557" t="s">
        <v>28</v>
      </c>
      <c r="G1557" t="s">
        <v>500</v>
      </c>
      <c r="H1557" t="s">
        <v>275</v>
      </c>
    </row>
    <row r="1558" spans="1:8" x14ac:dyDescent="0.2">
      <c r="A1558" t="s">
        <v>287</v>
      </c>
      <c r="B1558">
        <v>8.9413043478260867</v>
      </c>
      <c r="C1558" t="s">
        <v>33</v>
      </c>
      <c r="D1558" t="s">
        <v>27</v>
      </c>
      <c r="E1558" t="s">
        <v>15</v>
      </c>
      <c r="F1558" t="s">
        <v>28</v>
      </c>
      <c r="G1558" t="s">
        <v>288</v>
      </c>
      <c r="H1558" t="s">
        <v>34</v>
      </c>
    </row>
    <row r="1559" spans="1:8" x14ac:dyDescent="0.2">
      <c r="A1559" t="s">
        <v>289</v>
      </c>
      <c r="B1559">
        <v>3.973913043478261</v>
      </c>
      <c r="C1559" t="s">
        <v>33</v>
      </c>
      <c r="D1559" t="s">
        <v>27</v>
      </c>
      <c r="E1559" t="s">
        <v>15</v>
      </c>
      <c r="F1559" t="s">
        <v>28</v>
      </c>
      <c r="G1559" t="s">
        <v>290</v>
      </c>
      <c r="H1559" t="s">
        <v>34</v>
      </c>
    </row>
    <row r="1560" spans="1:8" x14ac:dyDescent="0.2">
      <c r="A1560" t="s">
        <v>280</v>
      </c>
      <c r="B1560">
        <v>-52.497982479428217</v>
      </c>
      <c r="C1560" t="s">
        <v>33</v>
      </c>
      <c r="D1560" t="s">
        <v>27</v>
      </c>
      <c r="E1560" t="s">
        <v>15</v>
      </c>
      <c r="F1560" t="s">
        <v>28</v>
      </c>
      <c r="G1560" t="s">
        <v>281</v>
      </c>
      <c r="H1560" t="s">
        <v>282</v>
      </c>
    </row>
    <row r="1561" spans="1:8" x14ac:dyDescent="0.2">
      <c r="A1561" t="s">
        <v>60</v>
      </c>
      <c r="B1561">
        <v>40.124999999999993</v>
      </c>
      <c r="C1561" t="s">
        <v>26</v>
      </c>
      <c r="D1561" t="s">
        <v>27</v>
      </c>
      <c r="E1561" t="s">
        <v>15</v>
      </c>
      <c r="F1561" t="s">
        <v>28</v>
      </c>
      <c r="G1561" t="s">
        <v>54</v>
      </c>
      <c r="H1561" t="s">
        <v>34</v>
      </c>
    </row>
    <row r="1562" spans="1:8" x14ac:dyDescent="0.2">
      <c r="A1562" t="s">
        <v>276</v>
      </c>
      <c r="B1562">
        <v>-1737.733695652174</v>
      </c>
      <c r="C1562" t="s">
        <v>33</v>
      </c>
      <c r="D1562" t="s">
        <v>27</v>
      </c>
      <c r="E1562" t="s">
        <v>15</v>
      </c>
      <c r="F1562" t="s">
        <v>28</v>
      </c>
      <c r="G1562" t="s">
        <v>277</v>
      </c>
      <c r="H1562" t="s">
        <v>25</v>
      </c>
    </row>
    <row r="1563" spans="1:8" x14ac:dyDescent="0.2">
      <c r="A1563" t="s">
        <v>501</v>
      </c>
      <c r="B1563">
        <v>-285.21641576210658</v>
      </c>
      <c r="C1563" t="s">
        <v>33</v>
      </c>
      <c r="D1563" t="s">
        <v>27</v>
      </c>
      <c r="E1563" t="s">
        <v>15</v>
      </c>
      <c r="F1563" t="s">
        <v>28</v>
      </c>
      <c r="G1563" t="s">
        <v>502</v>
      </c>
      <c r="H1563" t="s">
        <v>25</v>
      </c>
    </row>
    <row r="1564" spans="1:8" x14ac:dyDescent="0.2">
      <c r="A1564" t="s">
        <v>56</v>
      </c>
      <c r="B1564">
        <v>75.984260739077456</v>
      </c>
      <c r="C1564" t="s">
        <v>63</v>
      </c>
      <c r="D1564" t="s">
        <v>39</v>
      </c>
      <c r="E1564" t="s">
        <v>15</v>
      </c>
      <c r="F1564" t="s">
        <v>28</v>
      </c>
      <c r="G1564" t="s">
        <v>58</v>
      </c>
      <c r="H1564" t="s">
        <v>34</v>
      </c>
    </row>
    <row r="1565" spans="1:8" x14ac:dyDescent="0.2">
      <c r="A1565" t="s">
        <v>305</v>
      </c>
      <c r="B1565">
        <v>1</v>
      </c>
      <c r="C1565" t="s">
        <v>26</v>
      </c>
      <c r="D1565" t="s">
        <v>10</v>
      </c>
      <c r="E1565" t="s">
        <v>15</v>
      </c>
      <c r="F1565" t="s">
        <v>24</v>
      </c>
      <c r="G1565" t="s">
        <v>73</v>
      </c>
      <c r="H1565" t="s">
        <v>25</v>
      </c>
    </row>
    <row r="1568" spans="1:8" ht="16" x14ac:dyDescent="0.2">
      <c r="A1568" s="1" t="s">
        <v>4</v>
      </c>
      <c r="B1568" s="1" t="s">
        <v>458</v>
      </c>
    </row>
    <row r="1569" spans="1:8" x14ac:dyDescent="0.2">
      <c r="A1569" t="s">
        <v>5</v>
      </c>
      <c r="B1569" t="s">
        <v>26</v>
      </c>
    </row>
    <row r="1570" spans="1:8" x14ac:dyDescent="0.2">
      <c r="A1570" t="s">
        <v>6</v>
      </c>
      <c r="B1570">
        <v>1</v>
      </c>
    </row>
    <row r="1571" spans="1:8" x14ac:dyDescent="0.2">
      <c r="A1571" t="s">
        <v>7</v>
      </c>
      <c r="B1571" t="s">
        <v>65</v>
      </c>
    </row>
    <row r="1572" spans="1:8" x14ac:dyDescent="0.2">
      <c r="A1572" t="s">
        <v>8</v>
      </c>
      <c r="B1572" t="s">
        <v>9</v>
      </c>
    </row>
    <row r="1573" spans="1:8" x14ac:dyDescent="0.2">
      <c r="A1573" t="s">
        <v>10</v>
      </c>
      <c r="B1573" t="s">
        <v>10</v>
      </c>
    </row>
    <row r="1574" spans="1:8" x14ac:dyDescent="0.2">
      <c r="A1574" t="s">
        <v>11</v>
      </c>
      <c r="B1574" t="s">
        <v>12</v>
      </c>
    </row>
    <row r="1575" spans="1:8" x14ac:dyDescent="0.2">
      <c r="A1575" t="s">
        <v>13</v>
      </c>
      <c r="B1575" t="s">
        <v>291</v>
      </c>
    </row>
    <row r="1576" spans="1:8" x14ac:dyDescent="0.2">
      <c r="A1576" t="s">
        <v>14</v>
      </c>
      <c r="B1576" t="s">
        <v>271</v>
      </c>
    </row>
    <row r="1577" spans="1:8" x14ac:dyDescent="0.2">
      <c r="A1577" t="s">
        <v>16</v>
      </c>
      <c r="B1577" t="s">
        <v>15</v>
      </c>
    </row>
    <row r="1578" spans="1:8" x14ac:dyDescent="0.2">
      <c r="A1578" t="s">
        <v>17</v>
      </c>
      <c r="B1578" t="s">
        <v>120</v>
      </c>
    </row>
    <row r="1579" spans="1:8" ht="16" x14ac:dyDescent="0.2">
      <c r="A1579" s="1" t="s">
        <v>18</v>
      </c>
    </row>
    <row r="1580" spans="1:8" x14ac:dyDescent="0.2">
      <c r="A1580" t="s">
        <v>19</v>
      </c>
      <c r="B1580" t="s">
        <v>20</v>
      </c>
      <c r="C1580" t="s">
        <v>5</v>
      </c>
      <c r="D1580" t="s">
        <v>10</v>
      </c>
      <c r="E1580" t="s">
        <v>22</v>
      </c>
      <c r="F1580" t="s">
        <v>8</v>
      </c>
      <c r="G1580" t="s">
        <v>7</v>
      </c>
      <c r="H1580" t="s">
        <v>23</v>
      </c>
    </row>
    <row r="1581" spans="1:8" x14ac:dyDescent="0.2">
      <c r="A1581" t="s">
        <v>61</v>
      </c>
      <c r="B1581">
        <v>117</v>
      </c>
      <c r="C1581" t="s">
        <v>33</v>
      </c>
      <c r="D1581" t="s">
        <v>27</v>
      </c>
      <c r="E1581" t="s">
        <v>15</v>
      </c>
      <c r="F1581" t="s">
        <v>28</v>
      </c>
      <c r="G1581" t="s">
        <v>61</v>
      </c>
      <c r="H1581" t="s">
        <v>62</v>
      </c>
    </row>
    <row r="1582" spans="1:8" x14ac:dyDescent="0.2">
      <c r="A1582" t="s">
        <v>272</v>
      </c>
      <c r="B1582">
        <v>1170</v>
      </c>
      <c r="C1582" t="s">
        <v>33</v>
      </c>
      <c r="D1582" t="s">
        <v>27</v>
      </c>
      <c r="E1582" t="s">
        <v>15</v>
      </c>
      <c r="F1582" t="s">
        <v>28</v>
      </c>
      <c r="G1582" t="s">
        <v>273</v>
      </c>
      <c r="H1582" t="s">
        <v>62</v>
      </c>
    </row>
    <row r="1583" spans="1:8" x14ac:dyDescent="0.2">
      <c r="A1583" t="s">
        <v>274</v>
      </c>
      <c r="B1583">
        <v>237.83412471649169</v>
      </c>
      <c r="C1583" t="s">
        <v>33</v>
      </c>
      <c r="D1583" t="s">
        <v>27</v>
      </c>
      <c r="E1583" t="s">
        <v>15</v>
      </c>
      <c r="F1583" t="s">
        <v>28</v>
      </c>
      <c r="G1583" t="s">
        <v>500</v>
      </c>
      <c r="H1583" t="s">
        <v>275</v>
      </c>
    </row>
    <row r="1584" spans="1:8" x14ac:dyDescent="0.2">
      <c r="A1584" t="s">
        <v>60</v>
      </c>
      <c r="B1584">
        <v>52.999999999999993</v>
      </c>
      <c r="C1584" t="s">
        <v>26</v>
      </c>
      <c r="D1584" t="s">
        <v>27</v>
      </c>
      <c r="E1584" t="s">
        <v>15</v>
      </c>
      <c r="F1584" t="s">
        <v>28</v>
      </c>
      <c r="G1584" t="s">
        <v>54</v>
      </c>
      <c r="H1584" t="s">
        <v>34</v>
      </c>
    </row>
    <row r="1585" spans="1:8" x14ac:dyDescent="0.2">
      <c r="A1585" t="s">
        <v>276</v>
      </c>
      <c r="B1585">
        <v>-1106</v>
      </c>
      <c r="C1585" t="s">
        <v>33</v>
      </c>
      <c r="D1585" t="s">
        <v>27</v>
      </c>
      <c r="E1585" t="s">
        <v>15</v>
      </c>
      <c r="F1585" t="s">
        <v>28</v>
      </c>
      <c r="G1585" t="s">
        <v>277</v>
      </c>
      <c r="H1585" t="s">
        <v>25</v>
      </c>
    </row>
    <row r="1586" spans="1:8" x14ac:dyDescent="0.2">
      <c r="A1586" t="s">
        <v>501</v>
      </c>
      <c r="B1586">
        <v>-237.83412471649169</v>
      </c>
      <c r="C1586" t="s">
        <v>33</v>
      </c>
      <c r="D1586" t="s">
        <v>27</v>
      </c>
      <c r="E1586" t="s">
        <v>15</v>
      </c>
      <c r="F1586" t="s">
        <v>28</v>
      </c>
      <c r="G1586" t="s">
        <v>502</v>
      </c>
      <c r="H1586" t="s">
        <v>25</v>
      </c>
    </row>
    <row r="1587" spans="1:8" x14ac:dyDescent="0.2">
      <c r="A1587" t="s">
        <v>458</v>
      </c>
      <c r="B1587">
        <v>1</v>
      </c>
      <c r="C1587" t="s">
        <v>26</v>
      </c>
      <c r="D1587" t="s">
        <v>10</v>
      </c>
      <c r="E1587" t="s">
        <v>15</v>
      </c>
      <c r="F1587" t="s">
        <v>24</v>
      </c>
      <c r="G1587" t="s">
        <v>65</v>
      </c>
      <c r="H1587" t="s">
        <v>25</v>
      </c>
    </row>
    <row r="1589" spans="1:8" ht="16" x14ac:dyDescent="0.2">
      <c r="A1589" s="1" t="s">
        <v>4</v>
      </c>
      <c r="B1589" s="1" t="s">
        <v>434</v>
      </c>
    </row>
    <row r="1590" spans="1:8" x14ac:dyDescent="0.2">
      <c r="A1590" t="s">
        <v>5</v>
      </c>
      <c r="B1590" t="s">
        <v>26</v>
      </c>
    </row>
    <row r="1591" spans="1:8" x14ac:dyDescent="0.2">
      <c r="A1591" t="s">
        <v>6</v>
      </c>
      <c r="B1591">
        <v>1</v>
      </c>
    </row>
    <row r="1592" spans="1:8" x14ac:dyDescent="0.2">
      <c r="A1592" t="s">
        <v>7</v>
      </c>
      <c r="B1592" t="s">
        <v>67</v>
      </c>
    </row>
    <row r="1593" spans="1:8" x14ac:dyDescent="0.2">
      <c r="A1593" t="s">
        <v>8</v>
      </c>
      <c r="B1593" t="s">
        <v>9</v>
      </c>
    </row>
    <row r="1594" spans="1:8" x14ac:dyDescent="0.2">
      <c r="A1594" t="s">
        <v>10</v>
      </c>
      <c r="B1594" t="s">
        <v>10</v>
      </c>
    </row>
    <row r="1595" spans="1:8" x14ac:dyDescent="0.2">
      <c r="A1595" t="s">
        <v>11</v>
      </c>
      <c r="B1595" t="s">
        <v>12</v>
      </c>
    </row>
    <row r="1596" spans="1:8" x14ac:dyDescent="0.2">
      <c r="A1596" t="s">
        <v>13</v>
      </c>
      <c r="B1596" t="s">
        <v>291</v>
      </c>
    </row>
    <row r="1597" spans="1:8" x14ac:dyDescent="0.2">
      <c r="A1597" t="s">
        <v>14</v>
      </c>
      <c r="B1597" t="s">
        <v>271</v>
      </c>
    </row>
    <row r="1598" spans="1:8" x14ac:dyDescent="0.2">
      <c r="A1598" t="s">
        <v>16</v>
      </c>
      <c r="B1598" t="s">
        <v>15</v>
      </c>
    </row>
    <row r="1599" spans="1:8" x14ac:dyDescent="0.2">
      <c r="A1599" t="s">
        <v>17</v>
      </c>
      <c r="B1599" t="s">
        <v>121</v>
      </c>
    </row>
    <row r="1600" spans="1:8" ht="16" x14ac:dyDescent="0.2">
      <c r="A1600" s="1" t="s">
        <v>18</v>
      </c>
    </row>
    <row r="1601" spans="1:8" x14ac:dyDescent="0.2">
      <c r="A1601" t="s">
        <v>19</v>
      </c>
      <c r="B1601" t="s">
        <v>20</v>
      </c>
      <c r="C1601" t="s">
        <v>5</v>
      </c>
      <c r="D1601" t="s">
        <v>10</v>
      </c>
      <c r="E1601" t="s">
        <v>22</v>
      </c>
      <c r="F1601" t="s">
        <v>8</v>
      </c>
      <c r="G1601" t="s">
        <v>7</v>
      </c>
      <c r="H1601" t="s">
        <v>23</v>
      </c>
    </row>
    <row r="1602" spans="1:8" x14ac:dyDescent="0.2">
      <c r="A1602" t="s">
        <v>61</v>
      </c>
      <c r="B1602">
        <v>117</v>
      </c>
      <c r="C1602" t="s">
        <v>33</v>
      </c>
      <c r="D1602" t="s">
        <v>27</v>
      </c>
      <c r="E1602" t="s">
        <v>15</v>
      </c>
      <c r="F1602" t="s">
        <v>28</v>
      </c>
      <c r="G1602" t="s">
        <v>61</v>
      </c>
      <c r="H1602" t="s">
        <v>62</v>
      </c>
    </row>
    <row r="1603" spans="1:8" x14ac:dyDescent="0.2">
      <c r="A1603" t="s">
        <v>272</v>
      </c>
      <c r="B1603">
        <v>1170</v>
      </c>
      <c r="C1603" t="s">
        <v>33</v>
      </c>
      <c r="D1603" t="s">
        <v>27</v>
      </c>
      <c r="E1603" t="s">
        <v>15</v>
      </c>
      <c r="F1603" t="s">
        <v>28</v>
      </c>
      <c r="G1603" t="s">
        <v>273</v>
      </c>
      <c r="H1603" t="s">
        <v>62</v>
      </c>
    </row>
    <row r="1604" spans="1:8" x14ac:dyDescent="0.2">
      <c r="A1604" t="s">
        <v>274</v>
      </c>
      <c r="B1604">
        <v>237.02147804000859</v>
      </c>
      <c r="C1604" t="s">
        <v>33</v>
      </c>
      <c r="D1604" t="s">
        <v>27</v>
      </c>
      <c r="E1604" t="s">
        <v>15</v>
      </c>
      <c r="F1604" t="s">
        <v>28</v>
      </c>
      <c r="G1604" t="s">
        <v>500</v>
      </c>
      <c r="H1604" t="s">
        <v>275</v>
      </c>
    </row>
    <row r="1605" spans="1:8" x14ac:dyDescent="0.2">
      <c r="A1605" t="s">
        <v>60</v>
      </c>
      <c r="B1605">
        <v>49.024999999999999</v>
      </c>
      <c r="C1605" t="s">
        <v>26</v>
      </c>
      <c r="D1605" t="s">
        <v>27</v>
      </c>
      <c r="E1605" t="s">
        <v>15</v>
      </c>
      <c r="F1605" t="s">
        <v>28</v>
      </c>
      <c r="G1605" t="s">
        <v>54</v>
      </c>
      <c r="H1605" t="s">
        <v>34</v>
      </c>
    </row>
    <row r="1606" spans="1:8" x14ac:dyDescent="0.2">
      <c r="A1606" t="s">
        <v>276</v>
      </c>
      <c r="B1606">
        <v>-1102.0250000000001</v>
      </c>
      <c r="C1606" t="s">
        <v>33</v>
      </c>
      <c r="D1606" t="s">
        <v>27</v>
      </c>
      <c r="E1606" t="s">
        <v>15</v>
      </c>
      <c r="F1606" t="s">
        <v>28</v>
      </c>
      <c r="G1606" t="s">
        <v>277</v>
      </c>
      <c r="H1606" t="s">
        <v>25</v>
      </c>
    </row>
    <row r="1607" spans="1:8" x14ac:dyDescent="0.2">
      <c r="A1607" t="s">
        <v>501</v>
      </c>
      <c r="B1607">
        <v>-237.02147804000859</v>
      </c>
      <c r="C1607" t="s">
        <v>33</v>
      </c>
      <c r="D1607" t="s">
        <v>27</v>
      </c>
      <c r="E1607" t="s">
        <v>15</v>
      </c>
      <c r="F1607" t="s">
        <v>28</v>
      </c>
      <c r="G1607" t="s">
        <v>502</v>
      </c>
      <c r="H1607" t="s">
        <v>25</v>
      </c>
    </row>
    <row r="1608" spans="1:8" x14ac:dyDescent="0.2">
      <c r="A1608" t="s">
        <v>434</v>
      </c>
      <c r="B1608">
        <v>1</v>
      </c>
      <c r="C1608" t="s">
        <v>26</v>
      </c>
      <c r="D1608" t="s">
        <v>10</v>
      </c>
      <c r="E1608" t="s">
        <v>15</v>
      </c>
      <c r="F1608" t="s">
        <v>24</v>
      </c>
      <c r="G1608" t="s">
        <v>67</v>
      </c>
      <c r="H1608" t="s">
        <v>25</v>
      </c>
    </row>
    <row r="1610" spans="1:8" ht="16" x14ac:dyDescent="0.2">
      <c r="A1610" s="1" t="s">
        <v>4</v>
      </c>
      <c r="B1610" s="1" t="s">
        <v>410</v>
      </c>
    </row>
    <row r="1611" spans="1:8" x14ac:dyDescent="0.2">
      <c r="A1611" t="s">
        <v>5</v>
      </c>
      <c r="B1611" t="s">
        <v>26</v>
      </c>
    </row>
    <row r="1612" spans="1:8" x14ac:dyDescent="0.2">
      <c r="A1612" t="s">
        <v>6</v>
      </c>
      <c r="B1612">
        <v>1</v>
      </c>
    </row>
    <row r="1613" spans="1:8" x14ac:dyDescent="0.2">
      <c r="A1613" t="s">
        <v>7</v>
      </c>
      <c r="B1613" t="s">
        <v>69</v>
      </c>
    </row>
    <row r="1614" spans="1:8" x14ac:dyDescent="0.2">
      <c r="A1614" t="s">
        <v>8</v>
      </c>
      <c r="B1614" t="s">
        <v>9</v>
      </c>
    </row>
    <row r="1615" spans="1:8" x14ac:dyDescent="0.2">
      <c r="A1615" t="s">
        <v>10</v>
      </c>
      <c r="B1615" t="s">
        <v>10</v>
      </c>
    </row>
    <row r="1616" spans="1:8" x14ac:dyDescent="0.2">
      <c r="A1616" t="s">
        <v>11</v>
      </c>
      <c r="B1616" t="s">
        <v>12</v>
      </c>
    </row>
    <row r="1617" spans="1:8" x14ac:dyDescent="0.2">
      <c r="A1617" t="s">
        <v>13</v>
      </c>
      <c r="B1617" t="s">
        <v>291</v>
      </c>
    </row>
    <row r="1618" spans="1:8" x14ac:dyDescent="0.2">
      <c r="A1618" t="s">
        <v>14</v>
      </c>
      <c r="B1618" t="s">
        <v>271</v>
      </c>
    </row>
    <row r="1619" spans="1:8" x14ac:dyDescent="0.2">
      <c r="A1619" t="s">
        <v>16</v>
      </c>
      <c r="B1619" t="s">
        <v>15</v>
      </c>
    </row>
    <row r="1620" spans="1:8" x14ac:dyDescent="0.2">
      <c r="A1620" t="s">
        <v>17</v>
      </c>
      <c r="B1620" t="s">
        <v>122</v>
      </c>
    </row>
    <row r="1621" spans="1:8" ht="16" x14ac:dyDescent="0.2">
      <c r="A1621" s="1" t="s">
        <v>18</v>
      </c>
    </row>
    <row r="1622" spans="1:8" x14ac:dyDescent="0.2">
      <c r="A1622" t="s">
        <v>19</v>
      </c>
      <c r="B1622" t="s">
        <v>20</v>
      </c>
      <c r="C1622" t="s">
        <v>5</v>
      </c>
      <c r="D1622" t="s">
        <v>10</v>
      </c>
      <c r="E1622" t="s">
        <v>22</v>
      </c>
      <c r="F1622" t="s">
        <v>8</v>
      </c>
      <c r="G1622" t="s">
        <v>7</v>
      </c>
      <c r="H1622" t="s">
        <v>23</v>
      </c>
    </row>
    <row r="1623" spans="1:8" x14ac:dyDescent="0.2">
      <c r="A1623" t="s">
        <v>61</v>
      </c>
      <c r="B1623">
        <v>117</v>
      </c>
      <c r="C1623" t="s">
        <v>33</v>
      </c>
      <c r="D1623" t="s">
        <v>27</v>
      </c>
      <c r="E1623" t="s">
        <v>15</v>
      </c>
      <c r="F1623" t="s">
        <v>28</v>
      </c>
      <c r="G1623" t="s">
        <v>61</v>
      </c>
      <c r="H1623" t="s">
        <v>62</v>
      </c>
    </row>
    <row r="1624" spans="1:8" x14ac:dyDescent="0.2">
      <c r="A1624" t="s">
        <v>272</v>
      </c>
      <c r="B1624">
        <v>1170</v>
      </c>
      <c r="C1624" t="s">
        <v>33</v>
      </c>
      <c r="D1624" t="s">
        <v>27</v>
      </c>
      <c r="E1624" t="s">
        <v>15</v>
      </c>
      <c r="F1624" t="s">
        <v>28</v>
      </c>
      <c r="G1624" t="s">
        <v>273</v>
      </c>
      <c r="H1624" t="s">
        <v>62</v>
      </c>
    </row>
    <row r="1625" spans="1:8" x14ac:dyDescent="0.2">
      <c r="A1625" t="s">
        <v>274</v>
      </c>
      <c r="B1625">
        <v>236.20883136352541</v>
      </c>
      <c r="C1625" t="s">
        <v>33</v>
      </c>
      <c r="D1625" t="s">
        <v>27</v>
      </c>
      <c r="E1625" t="s">
        <v>15</v>
      </c>
      <c r="F1625" t="s">
        <v>28</v>
      </c>
      <c r="G1625" t="s">
        <v>500</v>
      </c>
      <c r="H1625" t="s">
        <v>275</v>
      </c>
    </row>
    <row r="1626" spans="1:8" x14ac:dyDescent="0.2">
      <c r="A1626" t="s">
        <v>60</v>
      </c>
      <c r="B1626">
        <v>45.05</v>
      </c>
      <c r="C1626" t="s">
        <v>26</v>
      </c>
      <c r="D1626" t="s">
        <v>27</v>
      </c>
      <c r="E1626" t="s">
        <v>15</v>
      </c>
      <c r="F1626" t="s">
        <v>28</v>
      </c>
      <c r="G1626" t="s">
        <v>54</v>
      </c>
      <c r="H1626" t="s">
        <v>34</v>
      </c>
    </row>
    <row r="1627" spans="1:8" x14ac:dyDescent="0.2">
      <c r="A1627" t="s">
        <v>276</v>
      </c>
      <c r="B1627">
        <v>-1098.05</v>
      </c>
      <c r="C1627" t="s">
        <v>33</v>
      </c>
      <c r="D1627" t="s">
        <v>27</v>
      </c>
      <c r="E1627" t="s">
        <v>15</v>
      </c>
      <c r="F1627" t="s">
        <v>28</v>
      </c>
      <c r="G1627" t="s">
        <v>277</v>
      </c>
      <c r="H1627" t="s">
        <v>25</v>
      </c>
    </row>
    <row r="1628" spans="1:8" x14ac:dyDescent="0.2">
      <c r="A1628" t="s">
        <v>501</v>
      </c>
      <c r="B1628">
        <v>-236.20883136352541</v>
      </c>
      <c r="C1628" t="s">
        <v>33</v>
      </c>
      <c r="D1628" t="s">
        <v>27</v>
      </c>
      <c r="E1628" t="s">
        <v>15</v>
      </c>
      <c r="F1628" t="s">
        <v>28</v>
      </c>
      <c r="G1628" t="s">
        <v>502</v>
      </c>
      <c r="H1628" t="s">
        <v>25</v>
      </c>
    </row>
    <row r="1629" spans="1:8" x14ac:dyDescent="0.2">
      <c r="A1629" t="s">
        <v>410</v>
      </c>
      <c r="B1629">
        <v>1</v>
      </c>
      <c r="C1629" t="s">
        <v>26</v>
      </c>
      <c r="D1629" t="s">
        <v>10</v>
      </c>
      <c r="E1629" t="s">
        <v>15</v>
      </c>
      <c r="F1629" t="s">
        <v>24</v>
      </c>
      <c r="G1629" t="s">
        <v>69</v>
      </c>
      <c r="H1629" t="s">
        <v>25</v>
      </c>
    </row>
    <row r="1631" spans="1:8" ht="16" x14ac:dyDescent="0.2">
      <c r="A1631" s="1" t="s">
        <v>4</v>
      </c>
      <c r="B1631" s="1" t="s">
        <v>362</v>
      </c>
    </row>
    <row r="1632" spans="1:8" x14ac:dyDescent="0.2">
      <c r="A1632" t="s">
        <v>5</v>
      </c>
      <c r="B1632" t="s">
        <v>26</v>
      </c>
    </row>
    <row r="1633" spans="1:8" x14ac:dyDescent="0.2">
      <c r="A1633" t="s">
        <v>6</v>
      </c>
      <c r="B1633">
        <v>1</v>
      </c>
    </row>
    <row r="1634" spans="1:8" x14ac:dyDescent="0.2">
      <c r="A1634" t="s">
        <v>7</v>
      </c>
      <c r="B1634" t="s">
        <v>71</v>
      </c>
    </row>
    <row r="1635" spans="1:8" x14ac:dyDescent="0.2">
      <c r="A1635" t="s">
        <v>8</v>
      </c>
      <c r="B1635" t="s">
        <v>9</v>
      </c>
    </row>
    <row r="1636" spans="1:8" x14ac:dyDescent="0.2">
      <c r="A1636" t="s">
        <v>10</v>
      </c>
      <c r="B1636" t="s">
        <v>10</v>
      </c>
    </row>
    <row r="1637" spans="1:8" x14ac:dyDescent="0.2">
      <c r="A1637" t="s">
        <v>11</v>
      </c>
      <c r="B1637" t="s">
        <v>12</v>
      </c>
    </row>
    <row r="1638" spans="1:8" x14ac:dyDescent="0.2">
      <c r="A1638" t="s">
        <v>13</v>
      </c>
      <c r="B1638" t="s">
        <v>291</v>
      </c>
    </row>
    <row r="1639" spans="1:8" x14ac:dyDescent="0.2">
      <c r="A1639" t="s">
        <v>14</v>
      </c>
      <c r="B1639" t="s">
        <v>271</v>
      </c>
    </row>
    <row r="1640" spans="1:8" x14ac:dyDescent="0.2">
      <c r="A1640" t="s">
        <v>16</v>
      </c>
      <c r="B1640" t="s">
        <v>15</v>
      </c>
    </row>
    <row r="1641" spans="1:8" x14ac:dyDescent="0.2">
      <c r="A1641" t="s">
        <v>17</v>
      </c>
      <c r="B1641" t="s">
        <v>123</v>
      </c>
    </row>
    <row r="1642" spans="1:8" ht="16" x14ac:dyDescent="0.2">
      <c r="A1642" s="1" t="s">
        <v>18</v>
      </c>
    </row>
    <row r="1643" spans="1:8" x14ac:dyDescent="0.2">
      <c r="A1643" t="s">
        <v>19</v>
      </c>
      <c r="B1643" t="s">
        <v>20</v>
      </c>
      <c r="C1643" t="s">
        <v>5</v>
      </c>
      <c r="D1643" t="s">
        <v>10</v>
      </c>
      <c r="E1643" t="s">
        <v>22</v>
      </c>
      <c r="F1643" t="s">
        <v>8</v>
      </c>
      <c r="G1643" t="s">
        <v>7</v>
      </c>
      <c r="H1643" t="s">
        <v>23</v>
      </c>
    </row>
    <row r="1644" spans="1:8" x14ac:dyDescent="0.2">
      <c r="A1644" t="s">
        <v>61</v>
      </c>
      <c r="B1644">
        <v>120.8152173913044</v>
      </c>
      <c r="C1644" t="s">
        <v>33</v>
      </c>
      <c r="D1644" t="s">
        <v>27</v>
      </c>
      <c r="E1644" t="s">
        <v>15</v>
      </c>
      <c r="F1644" t="s">
        <v>28</v>
      </c>
      <c r="G1644" t="s">
        <v>61</v>
      </c>
      <c r="H1644" t="s">
        <v>62</v>
      </c>
    </row>
    <row r="1645" spans="1:8" x14ac:dyDescent="0.2">
      <c r="A1645" t="s">
        <v>272</v>
      </c>
      <c r="B1645">
        <v>1170</v>
      </c>
      <c r="C1645" t="s">
        <v>33</v>
      </c>
      <c r="D1645" t="s">
        <v>27</v>
      </c>
      <c r="E1645" t="s">
        <v>15</v>
      </c>
      <c r="F1645" t="s">
        <v>28</v>
      </c>
      <c r="G1645" t="s">
        <v>273</v>
      </c>
      <c r="H1645" t="s">
        <v>62</v>
      </c>
    </row>
    <row r="1646" spans="1:8" x14ac:dyDescent="0.2">
      <c r="A1646" t="s">
        <v>274</v>
      </c>
      <c r="B1646">
        <v>233.54223177080269</v>
      </c>
      <c r="C1646" t="s">
        <v>33</v>
      </c>
      <c r="D1646" t="s">
        <v>27</v>
      </c>
      <c r="E1646" t="s">
        <v>15</v>
      </c>
      <c r="F1646" t="s">
        <v>28</v>
      </c>
      <c r="G1646" t="s">
        <v>500</v>
      </c>
      <c r="H1646" t="s">
        <v>275</v>
      </c>
    </row>
    <row r="1647" spans="1:8" x14ac:dyDescent="0.2">
      <c r="A1647" t="s">
        <v>60</v>
      </c>
      <c r="B1647">
        <v>42.399999999999991</v>
      </c>
      <c r="C1647" t="s">
        <v>26</v>
      </c>
      <c r="D1647" t="s">
        <v>27</v>
      </c>
      <c r="E1647" t="s">
        <v>15</v>
      </c>
      <c r="F1647" t="s">
        <v>28</v>
      </c>
      <c r="G1647" t="s">
        <v>54</v>
      </c>
      <c r="H1647" t="s">
        <v>34</v>
      </c>
    </row>
    <row r="1648" spans="1:8" x14ac:dyDescent="0.2">
      <c r="A1648" t="s">
        <v>276</v>
      </c>
      <c r="B1648">
        <v>-1091.5847826086961</v>
      </c>
      <c r="C1648" t="s">
        <v>33</v>
      </c>
      <c r="D1648" t="s">
        <v>27</v>
      </c>
      <c r="E1648" t="s">
        <v>15</v>
      </c>
      <c r="F1648" t="s">
        <v>28</v>
      </c>
      <c r="G1648" t="s">
        <v>277</v>
      </c>
      <c r="H1648" t="s">
        <v>25</v>
      </c>
    </row>
    <row r="1649" spans="1:8" x14ac:dyDescent="0.2">
      <c r="A1649" t="s">
        <v>501</v>
      </c>
      <c r="B1649">
        <v>-233.54223177080269</v>
      </c>
      <c r="C1649" t="s">
        <v>33</v>
      </c>
      <c r="D1649" t="s">
        <v>27</v>
      </c>
      <c r="E1649" t="s">
        <v>15</v>
      </c>
      <c r="F1649" t="s">
        <v>28</v>
      </c>
      <c r="G1649" t="s">
        <v>502</v>
      </c>
      <c r="H1649" t="s">
        <v>25</v>
      </c>
    </row>
    <row r="1650" spans="1:8" x14ac:dyDescent="0.2">
      <c r="A1650" t="s">
        <v>362</v>
      </c>
      <c r="B1650">
        <v>1</v>
      </c>
      <c r="C1650" t="s">
        <v>26</v>
      </c>
      <c r="D1650" t="s">
        <v>10</v>
      </c>
      <c r="E1650" t="s">
        <v>15</v>
      </c>
      <c r="F1650" t="s">
        <v>24</v>
      </c>
      <c r="G1650" t="s">
        <v>71</v>
      </c>
      <c r="H1650" t="s">
        <v>25</v>
      </c>
    </row>
    <row r="1652" spans="1:8" ht="16" x14ac:dyDescent="0.2">
      <c r="A1652" s="1" t="s">
        <v>4</v>
      </c>
      <c r="B1652" s="1" t="s">
        <v>306</v>
      </c>
    </row>
    <row r="1653" spans="1:8" x14ac:dyDescent="0.2">
      <c r="A1653" t="s">
        <v>5</v>
      </c>
      <c r="B1653" t="s">
        <v>26</v>
      </c>
    </row>
    <row r="1654" spans="1:8" x14ac:dyDescent="0.2">
      <c r="A1654" t="s">
        <v>6</v>
      </c>
      <c r="B1654">
        <v>1</v>
      </c>
    </row>
    <row r="1655" spans="1:8" x14ac:dyDescent="0.2">
      <c r="A1655" t="s">
        <v>7</v>
      </c>
      <c r="B1655" t="s">
        <v>73</v>
      </c>
    </row>
    <row r="1656" spans="1:8" x14ac:dyDescent="0.2">
      <c r="A1656" t="s">
        <v>8</v>
      </c>
      <c r="B1656" t="s">
        <v>9</v>
      </c>
    </row>
    <row r="1657" spans="1:8" x14ac:dyDescent="0.2">
      <c r="A1657" t="s">
        <v>10</v>
      </c>
      <c r="B1657" t="s">
        <v>10</v>
      </c>
    </row>
    <row r="1658" spans="1:8" x14ac:dyDescent="0.2">
      <c r="A1658" t="s">
        <v>11</v>
      </c>
      <c r="B1658" t="s">
        <v>12</v>
      </c>
    </row>
    <row r="1659" spans="1:8" x14ac:dyDescent="0.2">
      <c r="A1659" t="s">
        <v>13</v>
      </c>
      <c r="B1659" t="s">
        <v>291</v>
      </c>
    </row>
    <row r="1660" spans="1:8" x14ac:dyDescent="0.2">
      <c r="A1660" t="s">
        <v>14</v>
      </c>
      <c r="B1660" t="s">
        <v>271</v>
      </c>
    </row>
    <row r="1661" spans="1:8" x14ac:dyDescent="0.2">
      <c r="A1661" t="s">
        <v>16</v>
      </c>
      <c r="B1661" t="s">
        <v>15</v>
      </c>
    </row>
    <row r="1662" spans="1:8" x14ac:dyDescent="0.2">
      <c r="A1662" t="s">
        <v>17</v>
      </c>
      <c r="B1662" t="s">
        <v>124</v>
      </c>
    </row>
    <row r="1663" spans="1:8" ht="16" x14ac:dyDescent="0.2">
      <c r="A1663" s="1" t="s">
        <v>18</v>
      </c>
    </row>
    <row r="1664" spans="1:8" x14ac:dyDescent="0.2">
      <c r="A1664" t="s">
        <v>19</v>
      </c>
      <c r="B1664" t="s">
        <v>20</v>
      </c>
      <c r="C1664" t="s">
        <v>5</v>
      </c>
      <c r="D1664" t="s">
        <v>10</v>
      </c>
      <c r="E1664" t="s">
        <v>22</v>
      </c>
      <c r="F1664" t="s">
        <v>8</v>
      </c>
      <c r="G1664" t="s">
        <v>7</v>
      </c>
      <c r="H1664" t="s">
        <v>23</v>
      </c>
    </row>
    <row r="1665" spans="1:8" x14ac:dyDescent="0.2">
      <c r="A1665" t="s">
        <v>61</v>
      </c>
      <c r="B1665">
        <v>124.6304347826087</v>
      </c>
      <c r="C1665" t="s">
        <v>33</v>
      </c>
      <c r="D1665" t="s">
        <v>27</v>
      </c>
      <c r="E1665" t="s">
        <v>15</v>
      </c>
      <c r="F1665" t="s">
        <v>28</v>
      </c>
      <c r="G1665" t="s">
        <v>61</v>
      </c>
      <c r="H1665" t="s">
        <v>62</v>
      </c>
    </row>
    <row r="1666" spans="1:8" x14ac:dyDescent="0.2">
      <c r="A1666" t="s">
        <v>272</v>
      </c>
      <c r="B1666">
        <v>1170</v>
      </c>
      <c r="C1666" t="s">
        <v>33</v>
      </c>
      <c r="D1666" t="s">
        <v>27</v>
      </c>
      <c r="E1666" t="s">
        <v>15</v>
      </c>
      <c r="F1666" t="s">
        <v>28</v>
      </c>
      <c r="G1666" t="s">
        <v>273</v>
      </c>
      <c r="H1666" t="s">
        <v>62</v>
      </c>
    </row>
    <row r="1667" spans="1:8" x14ac:dyDescent="0.2">
      <c r="A1667" t="s">
        <v>274</v>
      </c>
      <c r="B1667">
        <v>230.88775693937771</v>
      </c>
      <c r="C1667" t="s">
        <v>33</v>
      </c>
      <c r="D1667" t="s">
        <v>27</v>
      </c>
      <c r="E1667" t="s">
        <v>15</v>
      </c>
      <c r="F1667" t="s">
        <v>28</v>
      </c>
      <c r="G1667" t="s">
        <v>500</v>
      </c>
      <c r="H1667" t="s">
        <v>275</v>
      </c>
    </row>
    <row r="1668" spans="1:8" x14ac:dyDescent="0.2">
      <c r="A1668" t="s">
        <v>60</v>
      </c>
      <c r="B1668">
        <v>39.75</v>
      </c>
      <c r="C1668" t="s">
        <v>26</v>
      </c>
      <c r="D1668" t="s">
        <v>27</v>
      </c>
      <c r="E1668" t="s">
        <v>15</v>
      </c>
      <c r="F1668" t="s">
        <v>28</v>
      </c>
      <c r="G1668" t="s">
        <v>54</v>
      </c>
      <c r="H1668" t="s">
        <v>34</v>
      </c>
    </row>
    <row r="1669" spans="1:8" x14ac:dyDescent="0.2">
      <c r="A1669" t="s">
        <v>276</v>
      </c>
      <c r="B1669">
        <v>-1085.119565217391</v>
      </c>
      <c r="C1669" t="s">
        <v>33</v>
      </c>
      <c r="D1669" t="s">
        <v>27</v>
      </c>
      <c r="E1669" t="s">
        <v>15</v>
      </c>
      <c r="F1669" t="s">
        <v>28</v>
      </c>
      <c r="G1669" t="s">
        <v>277</v>
      </c>
      <c r="H1669" t="s">
        <v>25</v>
      </c>
    </row>
    <row r="1670" spans="1:8" x14ac:dyDescent="0.2">
      <c r="A1670" t="s">
        <v>501</v>
      </c>
      <c r="B1670">
        <v>-230.88775693937771</v>
      </c>
      <c r="C1670" t="s">
        <v>33</v>
      </c>
      <c r="D1670" t="s">
        <v>27</v>
      </c>
      <c r="E1670" t="s">
        <v>15</v>
      </c>
      <c r="F1670" t="s">
        <v>28</v>
      </c>
      <c r="G1670" t="s">
        <v>502</v>
      </c>
      <c r="H1670" t="s">
        <v>25</v>
      </c>
    </row>
    <row r="1671" spans="1:8" x14ac:dyDescent="0.2">
      <c r="A1671" t="s">
        <v>306</v>
      </c>
      <c r="B1671">
        <v>1</v>
      </c>
      <c r="C1671" t="s">
        <v>26</v>
      </c>
      <c r="D1671" t="s">
        <v>10</v>
      </c>
      <c r="E1671" t="s">
        <v>15</v>
      </c>
      <c r="F1671" t="s">
        <v>24</v>
      </c>
      <c r="G1671" t="s">
        <v>73</v>
      </c>
      <c r="H1671" t="s">
        <v>25</v>
      </c>
    </row>
    <row r="1674" spans="1:8" ht="16" x14ac:dyDescent="0.2">
      <c r="A1674" s="1" t="s">
        <v>4</v>
      </c>
      <c r="B1674" s="1" t="s">
        <v>459</v>
      </c>
    </row>
    <row r="1675" spans="1:8" x14ac:dyDescent="0.2">
      <c r="A1675" t="s">
        <v>5</v>
      </c>
      <c r="B1675" t="s">
        <v>26</v>
      </c>
    </row>
    <row r="1676" spans="1:8" x14ac:dyDescent="0.2">
      <c r="A1676" t="s">
        <v>6</v>
      </c>
      <c r="B1676">
        <v>1</v>
      </c>
    </row>
    <row r="1677" spans="1:8" x14ac:dyDescent="0.2">
      <c r="A1677" t="s">
        <v>7</v>
      </c>
      <c r="B1677" t="s">
        <v>65</v>
      </c>
    </row>
    <row r="1678" spans="1:8" x14ac:dyDescent="0.2">
      <c r="A1678" t="s">
        <v>8</v>
      </c>
      <c r="B1678" t="s">
        <v>9</v>
      </c>
    </row>
    <row r="1679" spans="1:8" x14ac:dyDescent="0.2">
      <c r="A1679" t="s">
        <v>10</v>
      </c>
      <c r="B1679" t="s">
        <v>10</v>
      </c>
    </row>
    <row r="1680" spans="1:8" x14ac:dyDescent="0.2">
      <c r="A1680" t="s">
        <v>11</v>
      </c>
      <c r="B1680" t="s">
        <v>12</v>
      </c>
    </row>
    <row r="1681" spans="1:8" x14ac:dyDescent="0.2">
      <c r="A1681" t="s">
        <v>13</v>
      </c>
      <c r="B1681" t="s">
        <v>291</v>
      </c>
    </row>
    <row r="1682" spans="1:8" x14ac:dyDescent="0.2">
      <c r="A1682" t="s">
        <v>14</v>
      </c>
      <c r="B1682" t="s">
        <v>271</v>
      </c>
    </row>
    <row r="1683" spans="1:8" x14ac:dyDescent="0.2">
      <c r="A1683" t="s">
        <v>16</v>
      </c>
      <c r="B1683" t="s">
        <v>15</v>
      </c>
    </row>
    <row r="1684" spans="1:8" x14ac:dyDescent="0.2">
      <c r="A1684" t="s">
        <v>17</v>
      </c>
      <c r="B1684" t="s">
        <v>125</v>
      </c>
    </row>
    <row r="1685" spans="1:8" ht="16" x14ac:dyDescent="0.2">
      <c r="A1685" s="1" t="s">
        <v>18</v>
      </c>
    </row>
    <row r="1686" spans="1:8" x14ac:dyDescent="0.2">
      <c r="A1686" t="s">
        <v>19</v>
      </c>
      <c r="B1686" t="s">
        <v>20</v>
      </c>
      <c r="C1686" t="s">
        <v>5</v>
      </c>
      <c r="D1686" t="s">
        <v>10</v>
      </c>
      <c r="E1686" t="s">
        <v>22</v>
      </c>
      <c r="F1686" t="s">
        <v>8</v>
      </c>
      <c r="G1686" t="s">
        <v>7</v>
      </c>
      <c r="H1686" t="s">
        <v>23</v>
      </c>
    </row>
    <row r="1687" spans="1:8" x14ac:dyDescent="0.2">
      <c r="A1687" t="s">
        <v>61</v>
      </c>
      <c r="B1687">
        <v>120.75</v>
      </c>
      <c r="C1687" t="s">
        <v>33</v>
      </c>
      <c r="D1687" t="s">
        <v>27</v>
      </c>
      <c r="E1687" t="s">
        <v>15</v>
      </c>
      <c r="F1687" t="s">
        <v>28</v>
      </c>
      <c r="G1687" t="s">
        <v>61</v>
      </c>
      <c r="H1687" t="s">
        <v>62</v>
      </c>
    </row>
    <row r="1688" spans="1:8" x14ac:dyDescent="0.2">
      <c r="A1688" t="s">
        <v>272</v>
      </c>
      <c r="B1688">
        <v>1207.5</v>
      </c>
      <c r="C1688" t="s">
        <v>33</v>
      </c>
      <c r="D1688" t="s">
        <v>27</v>
      </c>
      <c r="E1688" t="s">
        <v>15</v>
      </c>
      <c r="F1688" t="s">
        <v>28</v>
      </c>
      <c r="G1688" t="s">
        <v>273</v>
      </c>
      <c r="H1688" t="s">
        <v>62</v>
      </c>
    </row>
    <row r="1689" spans="1:8" x14ac:dyDescent="0.2">
      <c r="A1689" t="s">
        <v>274</v>
      </c>
      <c r="B1689">
        <v>260.62002216029509</v>
      </c>
      <c r="C1689" t="s">
        <v>33</v>
      </c>
      <c r="D1689" t="s">
        <v>27</v>
      </c>
      <c r="E1689" t="s">
        <v>15</v>
      </c>
      <c r="F1689" t="s">
        <v>28</v>
      </c>
      <c r="G1689" t="s">
        <v>500</v>
      </c>
      <c r="H1689" t="s">
        <v>275</v>
      </c>
    </row>
    <row r="1690" spans="1:8" x14ac:dyDescent="0.2">
      <c r="A1690" t="s">
        <v>60</v>
      </c>
      <c r="B1690">
        <v>46.36666666666666</v>
      </c>
      <c r="C1690" t="s">
        <v>26</v>
      </c>
      <c r="D1690" t="s">
        <v>27</v>
      </c>
      <c r="E1690" t="s">
        <v>15</v>
      </c>
      <c r="F1690" t="s">
        <v>28</v>
      </c>
      <c r="G1690" t="s">
        <v>54</v>
      </c>
      <c r="H1690" t="s">
        <v>34</v>
      </c>
    </row>
    <row r="1691" spans="1:8" x14ac:dyDescent="0.2">
      <c r="A1691" t="s">
        <v>276</v>
      </c>
      <c r="B1691">
        <v>-1133.116666666667</v>
      </c>
      <c r="C1691" t="s">
        <v>33</v>
      </c>
      <c r="D1691" t="s">
        <v>27</v>
      </c>
      <c r="E1691" t="s">
        <v>15</v>
      </c>
      <c r="F1691" t="s">
        <v>28</v>
      </c>
      <c r="G1691" t="s">
        <v>277</v>
      </c>
      <c r="H1691" t="s">
        <v>25</v>
      </c>
    </row>
    <row r="1692" spans="1:8" x14ac:dyDescent="0.2">
      <c r="A1692" t="s">
        <v>501</v>
      </c>
      <c r="B1692">
        <v>-260.62002216029509</v>
      </c>
      <c r="C1692" t="s">
        <v>33</v>
      </c>
      <c r="D1692" t="s">
        <v>27</v>
      </c>
      <c r="E1692" t="s">
        <v>15</v>
      </c>
      <c r="F1692" t="s">
        <v>28</v>
      </c>
      <c r="G1692" t="s">
        <v>502</v>
      </c>
      <c r="H1692" t="s">
        <v>25</v>
      </c>
    </row>
    <row r="1693" spans="1:8" x14ac:dyDescent="0.2">
      <c r="A1693" t="s">
        <v>459</v>
      </c>
      <c r="B1693">
        <v>1</v>
      </c>
      <c r="C1693" t="s">
        <v>26</v>
      </c>
      <c r="D1693" t="s">
        <v>10</v>
      </c>
      <c r="E1693" t="s">
        <v>15</v>
      </c>
      <c r="F1693" t="s">
        <v>24</v>
      </c>
      <c r="G1693" t="s">
        <v>65</v>
      </c>
      <c r="H1693" t="s">
        <v>25</v>
      </c>
    </row>
    <row r="1695" spans="1:8" ht="16" x14ac:dyDescent="0.2">
      <c r="A1695" s="1" t="s">
        <v>4</v>
      </c>
      <c r="B1695" s="1" t="s">
        <v>435</v>
      </c>
    </row>
    <row r="1696" spans="1:8" x14ac:dyDescent="0.2">
      <c r="A1696" t="s">
        <v>5</v>
      </c>
      <c r="B1696" t="s">
        <v>26</v>
      </c>
    </row>
    <row r="1697" spans="1:8" x14ac:dyDescent="0.2">
      <c r="A1697" t="s">
        <v>6</v>
      </c>
      <c r="B1697">
        <v>1</v>
      </c>
    </row>
    <row r="1698" spans="1:8" x14ac:dyDescent="0.2">
      <c r="A1698" t="s">
        <v>7</v>
      </c>
      <c r="B1698" t="s">
        <v>67</v>
      </c>
    </row>
    <row r="1699" spans="1:8" x14ac:dyDescent="0.2">
      <c r="A1699" t="s">
        <v>8</v>
      </c>
      <c r="B1699" t="s">
        <v>9</v>
      </c>
    </row>
    <row r="1700" spans="1:8" x14ac:dyDescent="0.2">
      <c r="A1700" t="s">
        <v>10</v>
      </c>
      <c r="B1700" t="s">
        <v>10</v>
      </c>
    </row>
    <row r="1701" spans="1:8" x14ac:dyDescent="0.2">
      <c r="A1701" t="s">
        <v>11</v>
      </c>
      <c r="B1701" t="s">
        <v>12</v>
      </c>
    </row>
    <row r="1702" spans="1:8" x14ac:dyDescent="0.2">
      <c r="A1702" t="s">
        <v>13</v>
      </c>
      <c r="B1702" t="s">
        <v>291</v>
      </c>
    </row>
    <row r="1703" spans="1:8" x14ac:dyDescent="0.2">
      <c r="A1703" t="s">
        <v>14</v>
      </c>
      <c r="B1703" t="s">
        <v>271</v>
      </c>
    </row>
    <row r="1704" spans="1:8" x14ac:dyDescent="0.2">
      <c r="A1704" t="s">
        <v>16</v>
      </c>
      <c r="B1704" t="s">
        <v>15</v>
      </c>
    </row>
    <row r="1705" spans="1:8" x14ac:dyDescent="0.2">
      <c r="A1705" t="s">
        <v>17</v>
      </c>
      <c r="B1705" t="s">
        <v>126</v>
      </c>
    </row>
    <row r="1706" spans="1:8" ht="16" x14ac:dyDescent="0.2">
      <c r="A1706" s="1" t="s">
        <v>18</v>
      </c>
    </row>
    <row r="1707" spans="1:8" x14ac:dyDescent="0.2">
      <c r="A1707" t="s">
        <v>19</v>
      </c>
      <c r="B1707" t="s">
        <v>20</v>
      </c>
      <c r="C1707" t="s">
        <v>5</v>
      </c>
      <c r="D1707" t="s">
        <v>10</v>
      </c>
      <c r="E1707" t="s">
        <v>22</v>
      </c>
      <c r="F1707" t="s">
        <v>8</v>
      </c>
      <c r="G1707" t="s">
        <v>7</v>
      </c>
      <c r="H1707" t="s">
        <v>23</v>
      </c>
    </row>
    <row r="1708" spans="1:8" x14ac:dyDescent="0.2">
      <c r="A1708" t="s">
        <v>61</v>
      </c>
      <c r="B1708">
        <v>120.75</v>
      </c>
      <c r="C1708" t="s">
        <v>33</v>
      </c>
      <c r="D1708" t="s">
        <v>27</v>
      </c>
      <c r="E1708" t="s">
        <v>15</v>
      </c>
      <c r="F1708" t="s">
        <v>28</v>
      </c>
      <c r="G1708" t="s">
        <v>61</v>
      </c>
      <c r="H1708" t="s">
        <v>62</v>
      </c>
    </row>
    <row r="1709" spans="1:8" x14ac:dyDescent="0.2">
      <c r="A1709" t="s">
        <v>272</v>
      </c>
      <c r="B1709">
        <v>1207.5</v>
      </c>
      <c r="C1709" t="s">
        <v>33</v>
      </c>
      <c r="D1709" t="s">
        <v>27</v>
      </c>
      <c r="E1709" t="s">
        <v>15</v>
      </c>
      <c r="F1709" t="s">
        <v>28</v>
      </c>
      <c r="G1709" t="s">
        <v>273</v>
      </c>
      <c r="H1709" t="s">
        <v>62</v>
      </c>
    </row>
    <row r="1710" spans="1:8" x14ac:dyDescent="0.2">
      <c r="A1710" t="s">
        <v>274</v>
      </c>
      <c r="B1710">
        <v>259.92908595070838</v>
      </c>
      <c r="C1710" t="s">
        <v>33</v>
      </c>
      <c r="D1710" t="s">
        <v>27</v>
      </c>
      <c r="E1710" t="s">
        <v>15</v>
      </c>
      <c r="F1710" t="s">
        <v>28</v>
      </c>
      <c r="G1710" t="s">
        <v>500</v>
      </c>
      <c r="H1710" t="s">
        <v>275</v>
      </c>
    </row>
    <row r="1711" spans="1:8" x14ac:dyDescent="0.2">
      <c r="A1711" t="s">
        <v>60</v>
      </c>
      <c r="B1711">
        <v>43.245833333333323</v>
      </c>
      <c r="C1711" t="s">
        <v>26</v>
      </c>
      <c r="D1711" t="s">
        <v>27</v>
      </c>
      <c r="E1711" t="s">
        <v>15</v>
      </c>
      <c r="F1711" t="s">
        <v>28</v>
      </c>
      <c r="G1711" t="s">
        <v>54</v>
      </c>
      <c r="H1711" t="s">
        <v>34</v>
      </c>
    </row>
    <row r="1712" spans="1:8" x14ac:dyDescent="0.2">
      <c r="A1712" t="s">
        <v>276</v>
      </c>
      <c r="B1712">
        <v>-1129.9958333333329</v>
      </c>
      <c r="C1712" t="s">
        <v>33</v>
      </c>
      <c r="D1712" t="s">
        <v>27</v>
      </c>
      <c r="E1712" t="s">
        <v>15</v>
      </c>
      <c r="F1712" t="s">
        <v>28</v>
      </c>
      <c r="G1712" t="s">
        <v>277</v>
      </c>
      <c r="H1712" t="s">
        <v>25</v>
      </c>
    </row>
    <row r="1713" spans="1:8" x14ac:dyDescent="0.2">
      <c r="A1713" t="s">
        <v>501</v>
      </c>
      <c r="B1713">
        <v>-259.92908595070838</v>
      </c>
      <c r="C1713" t="s">
        <v>33</v>
      </c>
      <c r="D1713" t="s">
        <v>27</v>
      </c>
      <c r="E1713" t="s">
        <v>15</v>
      </c>
      <c r="F1713" t="s">
        <v>28</v>
      </c>
      <c r="G1713" t="s">
        <v>502</v>
      </c>
      <c r="H1713" t="s">
        <v>25</v>
      </c>
    </row>
    <row r="1714" spans="1:8" x14ac:dyDescent="0.2">
      <c r="A1714" t="s">
        <v>435</v>
      </c>
      <c r="B1714">
        <v>1</v>
      </c>
      <c r="C1714" t="s">
        <v>26</v>
      </c>
      <c r="D1714" t="s">
        <v>10</v>
      </c>
      <c r="E1714" t="s">
        <v>15</v>
      </c>
      <c r="F1714" t="s">
        <v>24</v>
      </c>
      <c r="G1714" t="s">
        <v>67</v>
      </c>
      <c r="H1714" t="s">
        <v>25</v>
      </c>
    </row>
    <row r="1716" spans="1:8" ht="16" x14ac:dyDescent="0.2">
      <c r="A1716" s="1" t="s">
        <v>4</v>
      </c>
      <c r="B1716" s="1" t="s">
        <v>411</v>
      </c>
    </row>
    <row r="1717" spans="1:8" x14ac:dyDescent="0.2">
      <c r="A1717" t="s">
        <v>5</v>
      </c>
      <c r="B1717" t="s">
        <v>26</v>
      </c>
    </row>
    <row r="1718" spans="1:8" x14ac:dyDescent="0.2">
      <c r="A1718" t="s">
        <v>6</v>
      </c>
      <c r="B1718">
        <v>1</v>
      </c>
    </row>
    <row r="1719" spans="1:8" x14ac:dyDescent="0.2">
      <c r="A1719" t="s">
        <v>7</v>
      </c>
      <c r="B1719" t="s">
        <v>69</v>
      </c>
    </row>
    <row r="1720" spans="1:8" x14ac:dyDescent="0.2">
      <c r="A1720" t="s">
        <v>8</v>
      </c>
      <c r="B1720" t="s">
        <v>9</v>
      </c>
    </row>
    <row r="1721" spans="1:8" x14ac:dyDescent="0.2">
      <c r="A1721" t="s">
        <v>10</v>
      </c>
      <c r="B1721" t="s">
        <v>10</v>
      </c>
    </row>
    <row r="1722" spans="1:8" x14ac:dyDescent="0.2">
      <c r="A1722" t="s">
        <v>11</v>
      </c>
      <c r="B1722" t="s">
        <v>12</v>
      </c>
    </row>
    <row r="1723" spans="1:8" x14ac:dyDescent="0.2">
      <c r="A1723" t="s">
        <v>13</v>
      </c>
      <c r="B1723" t="s">
        <v>291</v>
      </c>
    </row>
    <row r="1724" spans="1:8" x14ac:dyDescent="0.2">
      <c r="A1724" t="s">
        <v>14</v>
      </c>
      <c r="B1724" t="s">
        <v>271</v>
      </c>
    </row>
    <row r="1725" spans="1:8" x14ac:dyDescent="0.2">
      <c r="A1725" t="s">
        <v>16</v>
      </c>
      <c r="B1725" t="s">
        <v>15</v>
      </c>
    </row>
    <row r="1726" spans="1:8" x14ac:dyDescent="0.2">
      <c r="A1726" t="s">
        <v>17</v>
      </c>
      <c r="B1726" t="s">
        <v>127</v>
      </c>
    </row>
    <row r="1727" spans="1:8" ht="16" x14ac:dyDescent="0.2">
      <c r="A1727" s="1" t="s">
        <v>18</v>
      </c>
    </row>
    <row r="1728" spans="1:8" x14ac:dyDescent="0.2">
      <c r="A1728" t="s">
        <v>19</v>
      </c>
      <c r="B1728" t="s">
        <v>20</v>
      </c>
      <c r="C1728" t="s">
        <v>5</v>
      </c>
      <c r="D1728" t="s">
        <v>10</v>
      </c>
      <c r="E1728" t="s">
        <v>22</v>
      </c>
      <c r="F1728" t="s">
        <v>8</v>
      </c>
      <c r="G1728" t="s">
        <v>7</v>
      </c>
      <c r="H1728" t="s">
        <v>23</v>
      </c>
    </row>
    <row r="1729" spans="1:8" x14ac:dyDescent="0.2">
      <c r="A1729" t="s">
        <v>61</v>
      </c>
      <c r="B1729">
        <v>120.75</v>
      </c>
      <c r="C1729" t="s">
        <v>33</v>
      </c>
      <c r="D1729" t="s">
        <v>27</v>
      </c>
      <c r="E1729" t="s">
        <v>15</v>
      </c>
      <c r="F1729" t="s">
        <v>28</v>
      </c>
      <c r="G1729" t="s">
        <v>61</v>
      </c>
      <c r="H1729" t="s">
        <v>62</v>
      </c>
    </row>
    <row r="1730" spans="1:8" x14ac:dyDescent="0.2">
      <c r="A1730" t="s">
        <v>272</v>
      </c>
      <c r="B1730">
        <v>1207.5</v>
      </c>
      <c r="C1730" t="s">
        <v>33</v>
      </c>
      <c r="D1730" t="s">
        <v>27</v>
      </c>
      <c r="E1730" t="s">
        <v>15</v>
      </c>
      <c r="F1730" t="s">
        <v>28</v>
      </c>
      <c r="G1730" t="s">
        <v>273</v>
      </c>
      <c r="H1730" t="s">
        <v>62</v>
      </c>
    </row>
    <row r="1731" spans="1:8" x14ac:dyDescent="0.2">
      <c r="A1731" t="s">
        <v>274</v>
      </c>
      <c r="B1731">
        <v>259.23814974112167</v>
      </c>
      <c r="C1731" t="s">
        <v>33</v>
      </c>
      <c r="D1731" t="s">
        <v>27</v>
      </c>
      <c r="E1731" t="s">
        <v>15</v>
      </c>
      <c r="F1731" t="s">
        <v>28</v>
      </c>
      <c r="G1731" t="s">
        <v>500</v>
      </c>
      <c r="H1731" t="s">
        <v>275</v>
      </c>
    </row>
    <row r="1732" spans="1:8" x14ac:dyDescent="0.2">
      <c r="A1732" t="s">
        <v>60</v>
      </c>
      <c r="B1732">
        <v>40.124999999999993</v>
      </c>
      <c r="C1732" t="s">
        <v>26</v>
      </c>
      <c r="D1732" t="s">
        <v>27</v>
      </c>
      <c r="E1732" t="s">
        <v>15</v>
      </c>
      <c r="F1732" t="s">
        <v>28</v>
      </c>
      <c r="G1732" t="s">
        <v>54</v>
      </c>
      <c r="H1732" t="s">
        <v>34</v>
      </c>
    </row>
    <row r="1733" spans="1:8" x14ac:dyDescent="0.2">
      <c r="A1733" t="s">
        <v>276</v>
      </c>
      <c r="B1733">
        <v>-1126.875</v>
      </c>
      <c r="C1733" t="s">
        <v>33</v>
      </c>
      <c r="D1733" t="s">
        <v>27</v>
      </c>
      <c r="E1733" t="s">
        <v>15</v>
      </c>
      <c r="F1733" t="s">
        <v>28</v>
      </c>
      <c r="G1733" t="s">
        <v>277</v>
      </c>
      <c r="H1733" t="s">
        <v>25</v>
      </c>
    </row>
    <row r="1734" spans="1:8" x14ac:dyDescent="0.2">
      <c r="A1734" t="s">
        <v>501</v>
      </c>
      <c r="B1734">
        <v>-259.23814974112167</v>
      </c>
      <c r="C1734" t="s">
        <v>33</v>
      </c>
      <c r="D1734" t="s">
        <v>27</v>
      </c>
      <c r="E1734" t="s">
        <v>15</v>
      </c>
      <c r="F1734" t="s">
        <v>28</v>
      </c>
      <c r="G1734" t="s">
        <v>502</v>
      </c>
      <c r="H1734" t="s">
        <v>25</v>
      </c>
    </row>
    <row r="1735" spans="1:8" x14ac:dyDescent="0.2">
      <c r="A1735" t="s">
        <v>411</v>
      </c>
      <c r="B1735">
        <v>1</v>
      </c>
      <c r="C1735" t="s">
        <v>26</v>
      </c>
      <c r="D1735" t="s">
        <v>10</v>
      </c>
      <c r="E1735" t="s">
        <v>15</v>
      </c>
      <c r="F1735" t="s">
        <v>24</v>
      </c>
      <c r="G1735" t="s">
        <v>69</v>
      </c>
      <c r="H1735" t="s">
        <v>25</v>
      </c>
    </row>
    <row r="1737" spans="1:8" ht="16" x14ac:dyDescent="0.2">
      <c r="A1737" s="1" t="s">
        <v>4</v>
      </c>
      <c r="B1737" s="1" t="s">
        <v>363</v>
      </c>
    </row>
    <row r="1738" spans="1:8" x14ac:dyDescent="0.2">
      <c r="A1738" t="s">
        <v>5</v>
      </c>
      <c r="B1738" t="s">
        <v>26</v>
      </c>
    </row>
    <row r="1739" spans="1:8" x14ac:dyDescent="0.2">
      <c r="A1739" t="s">
        <v>6</v>
      </c>
      <c r="B1739">
        <v>1</v>
      </c>
    </row>
    <row r="1740" spans="1:8" x14ac:dyDescent="0.2">
      <c r="A1740" t="s">
        <v>7</v>
      </c>
      <c r="B1740" t="s">
        <v>71</v>
      </c>
    </row>
    <row r="1741" spans="1:8" x14ac:dyDescent="0.2">
      <c r="A1741" t="s">
        <v>8</v>
      </c>
      <c r="B1741" t="s">
        <v>9</v>
      </c>
    </row>
    <row r="1742" spans="1:8" x14ac:dyDescent="0.2">
      <c r="A1742" t="s">
        <v>10</v>
      </c>
      <c r="B1742" t="s">
        <v>10</v>
      </c>
    </row>
    <row r="1743" spans="1:8" x14ac:dyDescent="0.2">
      <c r="A1743" t="s">
        <v>11</v>
      </c>
      <c r="B1743" t="s">
        <v>12</v>
      </c>
    </row>
    <row r="1744" spans="1:8" x14ac:dyDescent="0.2">
      <c r="A1744" t="s">
        <v>13</v>
      </c>
      <c r="B1744" t="s">
        <v>291</v>
      </c>
    </row>
    <row r="1745" spans="1:8" x14ac:dyDescent="0.2">
      <c r="A1745" t="s">
        <v>14</v>
      </c>
      <c r="B1745" t="s">
        <v>271</v>
      </c>
    </row>
    <row r="1746" spans="1:8" x14ac:dyDescent="0.2">
      <c r="A1746" t="s">
        <v>16</v>
      </c>
      <c r="B1746" t="s">
        <v>15</v>
      </c>
    </row>
    <row r="1747" spans="1:8" x14ac:dyDescent="0.2">
      <c r="A1747" t="s">
        <v>17</v>
      </c>
      <c r="B1747" t="s">
        <v>128</v>
      </c>
    </row>
    <row r="1748" spans="1:8" ht="16" x14ac:dyDescent="0.2">
      <c r="A1748" s="1" t="s">
        <v>18</v>
      </c>
    </row>
    <row r="1749" spans="1:8" x14ac:dyDescent="0.2">
      <c r="A1749" t="s">
        <v>19</v>
      </c>
      <c r="B1749" t="s">
        <v>20</v>
      </c>
      <c r="C1749" t="s">
        <v>5</v>
      </c>
      <c r="D1749" t="s">
        <v>10</v>
      </c>
      <c r="E1749" t="s">
        <v>22</v>
      </c>
      <c r="F1749" t="s">
        <v>8</v>
      </c>
      <c r="G1749" t="s">
        <v>7</v>
      </c>
      <c r="H1749" t="s">
        <v>23</v>
      </c>
    </row>
    <row r="1750" spans="1:8" x14ac:dyDescent="0.2">
      <c r="A1750" t="s">
        <v>61</v>
      </c>
      <c r="B1750">
        <v>122.7513586956522</v>
      </c>
      <c r="C1750" t="s">
        <v>33</v>
      </c>
      <c r="D1750" t="s">
        <v>27</v>
      </c>
      <c r="E1750" t="s">
        <v>15</v>
      </c>
      <c r="F1750" t="s">
        <v>28</v>
      </c>
      <c r="G1750" t="s">
        <v>61</v>
      </c>
      <c r="H1750" t="s">
        <v>62</v>
      </c>
    </row>
    <row r="1751" spans="1:8" x14ac:dyDescent="0.2">
      <c r="A1751" t="s">
        <v>272</v>
      </c>
      <c r="B1751">
        <v>1188.75</v>
      </c>
      <c r="C1751" t="s">
        <v>33</v>
      </c>
      <c r="D1751" t="s">
        <v>27</v>
      </c>
      <c r="E1751" t="s">
        <v>15</v>
      </c>
      <c r="F1751" t="s">
        <v>28</v>
      </c>
      <c r="G1751" t="s">
        <v>273</v>
      </c>
      <c r="H1751" t="s">
        <v>62</v>
      </c>
    </row>
    <row r="1752" spans="1:8" x14ac:dyDescent="0.2">
      <c r="A1752" t="s">
        <v>274</v>
      </c>
      <c r="B1752">
        <v>255.2831576696949</v>
      </c>
      <c r="C1752" t="s">
        <v>33</v>
      </c>
      <c r="D1752" t="s">
        <v>27</v>
      </c>
      <c r="E1752" t="s">
        <v>15</v>
      </c>
      <c r="F1752" t="s">
        <v>28</v>
      </c>
      <c r="G1752" t="s">
        <v>500</v>
      </c>
      <c r="H1752" t="s">
        <v>275</v>
      </c>
    </row>
    <row r="1753" spans="1:8" x14ac:dyDescent="0.2">
      <c r="A1753" t="s">
        <v>60</v>
      </c>
      <c r="B1753">
        <v>40.124999999999993</v>
      </c>
      <c r="C1753" t="s">
        <v>26</v>
      </c>
      <c r="D1753" t="s">
        <v>27</v>
      </c>
      <c r="E1753" t="s">
        <v>15</v>
      </c>
      <c r="F1753" t="s">
        <v>28</v>
      </c>
      <c r="G1753" t="s">
        <v>54</v>
      </c>
      <c r="H1753" t="s">
        <v>34</v>
      </c>
    </row>
    <row r="1754" spans="1:8" x14ac:dyDescent="0.2">
      <c r="A1754" t="s">
        <v>276</v>
      </c>
      <c r="B1754">
        <v>-1106.123641304348</v>
      </c>
      <c r="C1754" t="s">
        <v>33</v>
      </c>
      <c r="D1754" t="s">
        <v>27</v>
      </c>
      <c r="E1754" t="s">
        <v>15</v>
      </c>
      <c r="F1754" t="s">
        <v>28</v>
      </c>
      <c r="G1754" t="s">
        <v>277</v>
      </c>
      <c r="H1754" t="s">
        <v>25</v>
      </c>
    </row>
    <row r="1755" spans="1:8" x14ac:dyDescent="0.2">
      <c r="A1755" t="s">
        <v>501</v>
      </c>
      <c r="B1755">
        <v>-255.2831576696949</v>
      </c>
      <c r="C1755" t="s">
        <v>33</v>
      </c>
      <c r="D1755" t="s">
        <v>27</v>
      </c>
      <c r="E1755" t="s">
        <v>15</v>
      </c>
      <c r="F1755" t="s">
        <v>28</v>
      </c>
      <c r="G1755" t="s">
        <v>502</v>
      </c>
      <c r="H1755" t="s">
        <v>25</v>
      </c>
    </row>
    <row r="1756" spans="1:8" x14ac:dyDescent="0.2">
      <c r="A1756" t="s">
        <v>363</v>
      </c>
      <c r="B1756">
        <v>1</v>
      </c>
      <c r="C1756" t="s">
        <v>26</v>
      </c>
      <c r="D1756" t="s">
        <v>10</v>
      </c>
      <c r="E1756" t="s">
        <v>15</v>
      </c>
      <c r="F1756" t="s">
        <v>24</v>
      </c>
      <c r="G1756" t="s">
        <v>71</v>
      </c>
      <c r="H1756" t="s">
        <v>25</v>
      </c>
    </row>
    <row r="1758" spans="1:8" ht="16" x14ac:dyDescent="0.2">
      <c r="A1758" s="1" t="s">
        <v>4</v>
      </c>
      <c r="B1758" s="1" t="s">
        <v>307</v>
      </c>
    </row>
    <row r="1759" spans="1:8" x14ac:dyDescent="0.2">
      <c r="A1759" t="s">
        <v>5</v>
      </c>
      <c r="B1759" t="s">
        <v>26</v>
      </c>
    </row>
    <row r="1760" spans="1:8" x14ac:dyDescent="0.2">
      <c r="A1760" t="s">
        <v>6</v>
      </c>
      <c r="B1760">
        <v>1</v>
      </c>
    </row>
    <row r="1761" spans="1:8" x14ac:dyDescent="0.2">
      <c r="A1761" t="s">
        <v>7</v>
      </c>
      <c r="B1761" t="s">
        <v>73</v>
      </c>
    </row>
    <row r="1762" spans="1:8" x14ac:dyDescent="0.2">
      <c r="A1762" t="s">
        <v>8</v>
      </c>
      <c r="B1762" t="s">
        <v>9</v>
      </c>
    </row>
    <row r="1763" spans="1:8" x14ac:dyDescent="0.2">
      <c r="A1763" t="s">
        <v>10</v>
      </c>
      <c r="B1763" t="s">
        <v>10</v>
      </c>
    </row>
    <row r="1764" spans="1:8" x14ac:dyDescent="0.2">
      <c r="A1764" t="s">
        <v>11</v>
      </c>
      <c r="B1764" t="s">
        <v>12</v>
      </c>
    </row>
    <row r="1765" spans="1:8" x14ac:dyDescent="0.2">
      <c r="A1765" t="s">
        <v>13</v>
      </c>
      <c r="B1765" t="s">
        <v>291</v>
      </c>
    </row>
    <row r="1766" spans="1:8" x14ac:dyDescent="0.2">
      <c r="A1766" t="s">
        <v>14</v>
      </c>
      <c r="B1766" t="s">
        <v>271</v>
      </c>
    </row>
    <row r="1767" spans="1:8" x14ac:dyDescent="0.2">
      <c r="A1767" t="s">
        <v>16</v>
      </c>
      <c r="B1767" t="s">
        <v>15</v>
      </c>
    </row>
    <row r="1768" spans="1:8" x14ac:dyDescent="0.2">
      <c r="A1768" t="s">
        <v>17</v>
      </c>
      <c r="B1768" t="s">
        <v>129</v>
      </c>
    </row>
    <row r="1769" spans="1:8" ht="16" x14ac:dyDescent="0.2">
      <c r="A1769" s="1" t="s">
        <v>18</v>
      </c>
    </row>
    <row r="1770" spans="1:8" x14ac:dyDescent="0.2">
      <c r="A1770" t="s">
        <v>19</v>
      </c>
      <c r="B1770" t="s">
        <v>20</v>
      </c>
      <c r="C1770" t="s">
        <v>5</v>
      </c>
      <c r="D1770" t="s">
        <v>10</v>
      </c>
      <c r="E1770" t="s">
        <v>22</v>
      </c>
      <c r="F1770" t="s">
        <v>8</v>
      </c>
      <c r="G1770" t="s">
        <v>7</v>
      </c>
      <c r="H1770" t="s">
        <v>23</v>
      </c>
    </row>
    <row r="1771" spans="1:8" x14ac:dyDescent="0.2">
      <c r="A1771" t="s">
        <v>61</v>
      </c>
      <c r="B1771">
        <v>124.6304347826087</v>
      </c>
      <c r="C1771" t="s">
        <v>33</v>
      </c>
      <c r="D1771" t="s">
        <v>27</v>
      </c>
      <c r="E1771" t="s">
        <v>15</v>
      </c>
      <c r="F1771" t="s">
        <v>28</v>
      </c>
      <c r="G1771" t="s">
        <v>61</v>
      </c>
      <c r="H1771" t="s">
        <v>62</v>
      </c>
    </row>
    <row r="1772" spans="1:8" x14ac:dyDescent="0.2">
      <c r="A1772" t="s">
        <v>272</v>
      </c>
      <c r="B1772">
        <v>1170</v>
      </c>
      <c r="C1772" t="s">
        <v>33</v>
      </c>
      <c r="D1772" t="s">
        <v>27</v>
      </c>
      <c r="E1772" t="s">
        <v>15</v>
      </c>
      <c r="F1772" t="s">
        <v>28</v>
      </c>
      <c r="G1772" t="s">
        <v>273</v>
      </c>
      <c r="H1772" t="s">
        <v>62</v>
      </c>
    </row>
    <row r="1773" spans="1:8" x14ac:dyDescent="0.2">
      <c r="A1773" t="s">
        <v>274</v>
      </c>
      <c r="B1773">
        <v>251.3656757081302</v>
      </c>
      <c r="C1773" t="s">
        <v>33</v>
      </c>
      <c r="D1773" t="s">
        <v>27</v>
      </c>
      <c r="E1773" t="s">
        <v>15</v>
      </c>
      <c r="F1773" t="s">
        <v>28</v>
      </c>
      <c r="G1773" t="s">
        <v>500</v>
      </c>
      <c r="H1773" t="s">
        <v>275</v>
      </c>
    </row>
    <row r="1774" spans="1:8" x14ac:dyDescent="0.2">
      <c r="A1774" t="s">
        <v>60</v>
      </c>
      <c r="B1774">
        <v>40.124999999999993</v>
      </c>
      <c r="C1774" t="s">
        <v>26</v>
      </c>
      <c r="D1774" t="s">
        <v>27</v>
      </c>
      <c r="E1774" t="s">
        <v>15</v>
      </c>
      <c r="F1774" t="s">
        <v>28</v>
      </c>
      <c r="G1774" t="s">
        <v>54</v>
      </c>
      <c r="H1774" t="s">
        <v>34</v>
      </c>
    </row>
    <row r="1775" spans="1:8" x14ac:dyDescent="0.2">
      <c r="A1775" t="s">
        <v>276</v>
      </c>
      <c r="B1775">
        <v>-1085.494565217391</v>
      </c>
      <c r="C1775" t="s">
        <v>33</v>
      </c>
      <c r="D1775" t="s">
        <v>27</v>
      </c>
      <c r="E1775" t="s">
        <v>15</v>
      </c>
      <c r="F1775" t="s">
        <v>28</v>
      </c>
      <c r="G1775" t="s">
        <v>277</v>
      </c>
      <c r="H1775" t="s">
        <v>25</v>
      </c>
    </row>
    <row r="1776" spans="1:8" x14ac:dyDescent="0.2">
      <c r="A1776" t="s">
        <v>501</v>
      </c>
      <c r="B1776">
        <v>-251.3656757081302</v>
      </c>
      <c r="C1776" t="s">
        <v>33</v>
      </c>
      <c r="D1776" t="s">
        <v>27</v>
      </c>
      <c r="E1776" t="s">
        <v>15</v>
      </c>
      <c r="F1776" t="s">
        <v>28</v>
      </c>
      <c r="G1776" t="s">
        <v>502</v>
      </c>
      <c r="H1776" t="s">
        <v>25</v>
      </c>
    </row>
    <row r="1777" spans="1:8" x14ac:dyDescent="0.2">
      <c r="A1777" t="s">
        <v>307</v>
      </c>
      <c r="B1777">
        <v>1</v>
      </c>
      <c r="C1777" t="s">
        <v>26</v>
      </c>
      <c r="D1777" t="s">
        <v>10</v>
      </c>
      <c r="E1777" t="s">
        <v>15</v>
      </c>
      <c r="F1777" t="s">
        <v>24</v>
      </c>
      <c r="G1777" t="s">
        <v>73</v>
      </c>
      <c r="H1777" t="s">
        <v>25</v>
      </c>
    </row>
    <row r="1780" spans="1:8" ht="16" x14ac:dyDescent="0.2">
      <c r="A1780" s="1" t="s">
        <v>4</v>
      </c>
      <c r="B1780" s="1" t="s">
        <v>460</v>
      </c>
    </row>
    <row r="1781" spans="1:8" x14ac:dyDescent="0.2">
      <c r="A1781" t="s">
        <v>5</v>
      </c>
      <c r="B1781" t="s">
        <v>26</v>
      </c>
    </row>
    <row r="1782" spans="1:8" x14ac:dyDescent="0.2">
      <c r="A1782" t="s">
        <v>6</v>
      </c>
      <c r="B1782">
        <v>1</v>
      </c>
    </row>
    <row r="1783" spans="1:8" x14ac:dyDescent="0.2">
      <c r="A1783" t="s">
        <v>7</v>
      </c>
      <c r="B1783" t="s">
        <v>65</v>
      </c>
    </row>
    <row r="1784" spans="1:8" x14ac:dyDescent="0.2">
      <c r="A1784" t="s">
        <v>8</v>
      </c>
      <c r="B1784" t="s">
        <v>9</v>
      </c>
    </row>
    <row r="1785" spans="1:8" x14ac:dyDescent="0.2">
      <c r="A1785" t="s">
        <v>10</v>
      </c>
      <c r="B1785" t="s">
        <v>10</v>
      </c>
    </row>
    <row r="1786" spans="1:8" x14ac:dyDescent="0.2">
      <c r="A1786" t="s">
        <v>11</v>
      </c>
      <c r="B1786" t="s">
        <v>12</v>
      </c>
    </row>
    <row r="1787" spans="1:8" x14ac:dyDescent="0.2">
      <c r="A1787" t="s">
        <v>13</v>
      </c>
      <c r="B1787" t="s">
        <v>291</v>
      </c>
    </row>
    <row r="1788" spans="1:8" x14ac:dyDescent="0.2">
      <c r="A1788" t="s">
        <v>14</v>
      </c>
      <c r="B1788" t="s">
        <v>271</v>
      </c>
    </row>
    <row r="1789" spans="1:8" x14ac:dyDescent="0.2">
      <c r="A1789" t="s">
        <v>16</v>
      </c>
      <c r="B1789" t="s">
        <v>15</v>
      </c>
    </row>
    <row r="1790" spans="1:8" x14ac:dyDescent="0.2">
      <c r="A1790" t="s">
        <v>17</v>
      </c>
      <c r="B1790" t="s">
        <v>130</v>
      </c>
    </row>
    <row r="1791" spans="1:8" ht="16" x14ac:dyDescent="0.2">
      <c r="A1791" s="1" t="s">
        <v>18</v>
      </c>
    </row>
    <row r="1792" spans="1:8" x14ac:dyDescent="0.2">
      <c r="A1792" t="s">
        <v>19</v>
      </c>
      <c r="B1792" t="s">
        <v>20</v>
      </c>
      <c r="C1792" t="s">
        <v>5</v>
      </c>
      <c r="D1792" t="s">
        <v>10</v>
      </c>
      <c r="E1792" t="s">
        <v>22</v>
      </c>
      <c r="F1792" t="s">
        <v>8</v>
      </c>
      <c r="G1792" t="s">
        <v>7</v>
      </c>
      <c r="H1792" t="s">
        <v>23</v>
      </c>
    </row>
    <row r="1793" spans="1:8" x14ac:dyDescent="0.2">
      <c r="A1793" t="s">
        <v>486</v>
      </c>
      <c r="B1793">
        <v>95.916666666666671</v>
      </c>
      <c r="C1793" t="s">
        <v>26</v>
      </c>
      <c r="D1793" t="s">
        <v>27</v>
      </c>
      <c r="E1793" t="s">
        <v>15</v>
      </c>
      <c r="F1793" t="s">
        <v>28</v>
      </c>
      <c r="G1793" t="s">
        <v>487</v>
      </c>
      <c r="H1793" t="s">
        <v>25</v>
      </c>
    </row>
    <row r="1794" spans="1:8" x14ac:dyDescent="0.2">
      <c r="A1794" t="s">
        <v>61</v>
      </c>
      <c r="B1794">
        <v>115</v>
      </c>
      <c r="C1794" t="s">
        <v>33</v>
      </c>
      <c r="D1794" t="s">
        <v>27</v>
      </c>
      <c r="E1794" t="s">
        <v>15</v>
      </c>
      <c r="F1794" t="s">
        <v>28</v>
      </c>
      <c r="G1794" t="s">
        <v>61</v>
      </c>
      <c r="H1794" t="s">
        <v>62</v>
      </c>
    </row>
    <row r="1795" spans="1:8" x14ac:dyDescent="0.2">
      <c r="A1795" t="s">
        <v>272</v>
      </c>
      <c r="B1795">
        <v>1150</v>
      </c>
      <c r="C1795" t="s">
        <v>33</v>
      </c>
      <c r="D1795" t="s">
        <v>27</v>
      </c>
      <c r="E1795" t="s">
        <v>15</v>
      </c>
      <c r="F1795" t="s">
        <v>28</v>
      </c>
      <c r="G1795" t="s">
        <v>273</v>
      </c>
      <c r="H1795" t="s">
        <v>62</v>
      </c>
    </row>
    <row r="1796" spans="1:8" x14ac:dyDescent="0.2">
      <c r="A1796" t="s">
        <v>274</v>
      </c>
      <c r="B1796">
        <v>236.67523473693851</v>
      </c>
      <c r="C1796" t="s">
        <v>33</v>
      </c>
      <c r="D1796" t="s">
        <v>27</v>
      </c>
      <c r="E1796" t="s">
        <v>15</v>
      </c>
      <c r="F1796" t="s">
        <v>28</v>
      </c>
      <c r="G1796" t="s">
        <v>500</v>
      </c>
      <c r="H1796" t="s">
        <v>275</v>
      </c>
    </row>
    <row r="1797" spans="1:8" x14ac:dyDescent="0.2">
      <c r="A1797" t="s">
        <v>276</v>
      </c>
      <c r="B1797">
        <v>-1130.916666666667</v>
      </c>
      <c r="C1797" t="s">
        <v>33</v>
      </c>
      <c r="D1797" t="s">
        <v>27</v>
      </c>
      <c r="E1797" t="s">
        <v>15</v>
      </c>
      <c r="F1797" t="s">
        <v>28</v>
      </c>
      <c r="G1797" t="s">
        <v>277</v>
      </c>
      <c r="H1797" t="s">
        <v>25</v>
      </c>
    </row>
    <row r="1798" spans="1:8" x14ac:dyDescent="0.2">
      <c r="A1798" t="s">
        <v>501</v>
      </c>
      <c r="B1798">
        <v>-236.67523473693851</v>
      </c>
      <c r="C1798" t="s">
        <v>33</v>
      </c>
      <c r="D1798" t="s">
        <v>27</v>
      </c>
      <c r="E1798" t="s">
        <v>15</v>
      </c>
      <c r="F1798" t="s">
        <v>28</v>
      </c>
      <c r="G1798" t="s">
        <v>502</v>
      </c>
      <c r="H1798" t="s">
        <v>25</v>
      </c>
    </row>
    <row r="1799" spans="1:8" x14ac:dyDescent="0.2">
      <c r="A1799" t="s">
        <v>460</v>
      </c>
      <c r="B1799">
        <v>1</v>
      </c>
      <c r="C1799" t="s">
        <v>26</v>
      </c>
      <c r="D1799" t="s">
        <v>10</v>
      </c>
      <c r="E1799" t="s">
        <v>15</v>
      </c>
      <c r="F1799" t="s">
        <v>24</v>
      </c>
      <c r="G1799" t="s">
        <v>65</v>
      </c>
      <c r="H1799" t="s">
        <v>25</v>
      </c>
    </row>
    <row r="1801" spans="1:8" ht="16" x14ac:dyDescent="0.2">
      <c r="A1801" s="1" t="s">
        <v>4</v>
      </c>
      <c r="B1801" s="1" t="s">
        <v>436</v>
      </c>
    </row>
    <row r="1802" spans="1:8" x14ac:dyDescent="0.2">
      <c r="A1802" t="s">
        <v>5</v>
      </c>
      <c r="B1802" t="s">
        <v>26</v>
      </c>
    </row>
    <row r="1803" spans="1:8" x14ac:dyDescent="0.2">
      <c r="A1803" t="s">
        <v>6</v>
      </c>
      <c r="B1803">
        <v>1</v>
      </c>
    </row>
    <row r="1804" spans="1:8" x14ac:dyDescent="0.2">
      <c r="A1804" t="s">
        <v>7</v>
      </c>
      <c r="B1804" t="s">
        <v>67</v>
      </c>
    </row>
    <row r="1805" spans="1:8" x14ac:dyDescent="0.2">
      <c r="A1805" t="s">
        <v>8</v>
      </c>
      <c r="B1805" t="s">
        <v>9</v>
      </c>
    </row>
    <row r="1806" spans="1:8" x14ac:dyDescent="0.2">
      <c r="A1806" t="s">
        <v>10</v>
      </c>
      <c r="B1806" t="s">
        <v>10</v>
      </c>
    </row>
    <row r="1807" spans="1:8" x14ac:dyDescent="0.2">
      <c r="A1807" t="s">
        <v>11</v>
      </c>
      <c r="B1807" t="s">
        <v>12</v>
      </c>
    </row>
    <row r="1808" spans="1:8" x14ac:dyDescent="0.2">
      <c r="A1808" t="s">
        <v>13</v>
      </c>
      <c r="B1808" t="s">
        <v>291</v>
      </c>
    </row>
    <row r="1809" spans="1:8" x14ac:dyDescent="0.2">
      <c r="A1809" t="s">
        <v>14</v>
      </c>
      <c r="B1809" t="s">
        <v>271</v>
      </c>
    </row>
    <row r="1810" spans="1:8" x14ac:dyDescent="0.2">
      <c r="A1810" t="s">
        <v>16</v>
      </c>
      <c r="B1810" t="s">
        <v>15</v>
      </c>
    </row>
    <row r="1811" spans="1:8" x14ac:dyDescent="0.2">
      <c r="A1811" t="s">
        <v>17</v>
      </c>
      <c r="B1811" t="s">
        <v>131</v>
      </c>
    </row>
    <row r="1812" spans="1:8" ht="16" x14ac:dyDescent="0.2">
      <c r="A1812" s="1" t="s">
        <v>18</v>
      </c>
    </row>
    <row r="1813" spans="1:8" x14ac:dyDescent="0.2">
      <c r="A1813" t="s">
        <v>19</v>
      </c>
      <c r="B1813" t="s">
        <v>20</v>
      </c>
      <c r="C1813" t="s">
        <v>5</v>
      </c>
      <c r="D1813" t="s">
        <v>10</v>
      </c>
      <c r="E1813" t="s">
        <v>22</v>
      </c>
      <c r="F1813" t="s">
        <v>8</v>
      </c>
      <c r="G1813" t="s">
        <v>7</v>
      </c>
      <c r="H1813" t="s">
        <v>23</v>
      </c>
    </row>
    <row r="1814" spans="1:8" x14ac:dyDescent="0.2">
      <c r="A1814" t="s">
        <v>486</v>
      </c>
      <c r="B1814">
        <v>91.291666666666671</v>
      </c>
      <c r="C1814" t="s">
        <v>26</v>
      </c>
      <c r="D1814" t="s">
        <v>27</v>
      </c>
      <c r="E1814" t="s">
        <v>15</v>
      </c>
      <c r="F1814" t="s">
        <v>28</v>
      </c>
      <c r="G1814" t="s">
        <v>487</v>
      </c>
      <c r="H1814" t="s">
        <v>25</v>
      </c>
    </row>
    <row r="1815" spans="1:8" x14ac:dyDescent="0.2">
      <c r="A1815" t="s">
        <v>61</v>
      </c>
      <c r="B1815">
        <v>115</v>
      </c>
      <c r="C1815" t="s">
        <v>33</v>
      </c>
      <c r="D1815" t="s">
        <v>27</v>
      </c>
      <c r="E1815" t="s">
        <v>15</v>
      </c>
      <c r="F1815" t="s">
        <v>28</v>
      </c>
      <c r="G1815" t="s">
        <v>61</v>
      </c>
      <c r="H1815" t="s">
        <v>62</v>
      </c>
    </row>
    <row r="1816" spans="1:8" x14ac:dyDescent="0.2">
      <c r="A1816" t="s">
        <v>272</v>
      </c>
      <c r="B1816">
        <v>1150</v>
      </c>
      <c r="C1816" t="s">
        <v>33</v>
      </c>
      <c r="D1816" t="s">
        <v>27</v>
      </c>
      <c r="E1816" t="s">
        <v>15</v>
      </c>
      <c r="F1816" t="s">
        <v>28</v>
      </c>
      <c r="G1816" t="s">
        <v>273</v>
      </c>
      <c r="H1816" t="s">
        <v>62</v>
      </c>
    </row>
    <row r="1817" spans="1:8" x14ac:dyDescent="0.2">
      <c r="A1817" t="s">
        <v>274</v>
      </c>
      <c r="B1817">
        <v>236.08793270431519</v>
      </c>
      <c r="C1817" t="s">
        <v>33</v>
      </c>
      <c r="D1817" t="s">
        <v>27</v>
      </c>
      <c r="E1817" t="s">
        <v>15</v>
      </c>
      <c r="F1817" t="s">
        <v>28</v>
      </c>
      <c r="G1817" t="s">
        <v>500</v>
      </c>
      <c r="H1817" t="s">
        <v>275</v>
      </c>
    </row>
    <row r="1818" spans="1:8" x14ac:dyDescent="0.2">
      <c r="A1818" t="s">
        <v>276</v>
      </c>
      <c r="B1818">
        <v>-1126.291666666667</v>
      </c>
      <c r="C1818" t="s">
        <v>33</v>
      </c>
      <c r="D1818" t="s">
        <v>27</v>
      </c>
      <c r="E1818" t="s">
        <v>15</v>
      </c>
      <c r="F1818" t="s">
        <v>28</v>
      </c>
      <c r="G1818" t="s">
        <v>277</v>
      </c>
      <c r="H1818" t="s">
        <v>25</v>
      </c>
    </row>
    <row r="1819" spans="1:8" x14ac:dyDescent="0.2">
      <c r="A1819" t="s">
        <v>501</v>
      </c>
      <c r="B1819">
        <v>-236.08793270431519</v>
      </c>
      <c r="C1819" t="s">
        <v>33</v>
      </c>
      <c r="D1819" t="s">
        <v>27</v>
      </c>
      <c r="E1819" t="s">
        <v>15</v>
      </c>
      <c r="F1819" t="s">
        <v>28</v>
      </c>
      <c r="G1819" t="s">
        <v>502</v>
      </c>
      <c r="H1819" t="s">
        <v>25</v>
      </c>
    </row>
    <row r="1820" spans="1:8" x14ac:dyDescent="0.2">
      <c r="A1820" t="s">
        <v>436</v>
      </c>
      <c r="B1820">
        <v>1</v>
      </c>
      <c r="C1820" t="s">
        <v>26</v>
      </c>
      <c r="D1820" t="s">
        <v>10</v>
      </c>
      <c r="E1820" t="s">
        <v>15</v>
      </c>
      <c r="F1820" t="s">
        <v>24</v>
      </c>
      <c r="G1820" t="s">
        <v>67</v>
      </c>
      <c r="H1820" t="s">
        <v>25</v>
      </c>
    </row>
    <row r="1822" spans="1:8" ht="16" x14ac:dyDescent="0.2">
      <c r="A1822" s="1" t="s">
        <v>4</v>
      </c>
      <c r="B1822" s="1" t="s">
        <v>412</v>
      </c>
    </row>
    <row r="1823" spans="1:8" x14ac:dyDescent="0.2">
      <c r="A1823" t="s">
        <v>5</v>
      </c>
      <c r="B1823" t="s">
        <v>26</v>
      </c>
    </row>
    <row r="1824" spans="1:8" x14ac:dyDescent="0.2">
      <c r="A1824" t="s">
        <v>6</v>
      </c>
      <c r="B1824">
        <v>1</v>
      </c>
    </row>
    <row r="1825" spans="1:8" x14ac:dyDescent="0.2">
      <c r="A1825" t="s">
        <v>7</v>
      </c>
      <c r="B1825" t="s">
        <v>69</v>
      </c>
    </row>
    <row r="1826" spans="1:8" x14ac:dyDescent="0.2">
      <c r="A1826" t="s">
        <v>8</v>
      </c>
      <c r="B1826" t="s">
        <v>9</v>
      </c>
    </row>
    <row r="1827" spans="1:8" x14ac:dyDescent="0.2">
      <c r="A1827" t="s">
        <v>10</v>
      </c>
      <c r="B1827" t="s">
        <v>10</v>
      </c>
    </row>
    <row r="1828" spans="1:8" x14ac:dyDescent="0.2">
      <c r="A1828" t="s">
        <v>11</v>
      </c>
      <c r="B1828" t="s">
        <v>12</v>
      </c>
    </row>
    <row r="1829" spans="1:8" x14ac:dyDescent="0.2">
      <c r="A1829" t="s">
        <v>13</v>
      </c>
      <c r="B1829" t="s">
        <v>291</v>
      </c>
    </row>
    <row r="1830" spans="1:8" x14ac:dyDescent="0.2">
      <c r="A1830" t="s">
        <v>14</v>
      </c>
      <c r="B1830" t="s">
        <v>271</v>
      </c>
    </row>
    <row r="1831" spans="1:8" x14ac:dyDescent="0.2">
      <c r="A1831" t="s">
        <v>16</v>
      </c>
      <c r="B1831" t="s">
        <v>15</v>
      </c>
    </row>
    <row r="1832" spans="1:8" x14ac:dyDescent="0.2">
      <c r="A1832" t="s">
        <v>17</v>
      </c>
      <c r="B1832" t="s">
        <v>132</v>
      </c>
    </row>
    <row r="1833" spans="1:8" ht="16" x14ac:dyDescent="0.2">
      <c r="A1833" s="1" t="s">
        <v>18</v>
      </c>
    </row>
    <row r="1834" spans="1:8" x14ac:dyDescent="0.2">
      <c r="A1834" t="s">
        <v>19</v>
      </c>
      <c r="B1834" t="s">
        <v>20</v>
      </c>
      <c r="C1834" t="s">
        <v>5</v>
      </c>
      <c r="D1834" t="s">
        <v>10</v>
      </c>
      <c r="E1834" t="s">
        <v>22</v>
      </c>
      <c r="F1834" t="s">
        <v>8</v>
      </c>
      <c r="G1834" t="s">
        <v>7</v>
      </c>
      <c r="H1834" t="s">
        <v>23</v>
      </c>
    </row>
    <row r="1835" spans="1:8" x14ac:dyDescent="0.2">
      <c r="A1835" t="s">
        <v>486</v>
      </c>
      <c r="B1835">
        <v>86.666666666666657</v>
      </c>
      <c r="C1835" t="s">
        <v>26</v>
      </c>
      <c r="D1835" t="s">
        <v>27</v>
      </c>
      <c r="E1835" t="s">
        <v>15</v>
      </c>
      <c r="F1835" t="s">
        <v>28</v>
      </c>
      <c r="G1835" t="s">
        <v>487</v>
      </c>
      <c r="H1835" t="s">
        <v>25</v>
      </c>
    </row>
    <row r="1836" spans="1:8" x14ac:dyDescent="0.2">
      <c r="A1836" t="s">
        <v>61</v>
      </c>
      <c r="B1836">
        <v>115</v>
      </c>
      <c r="C1836" t="s">
        <v>33</v>
      </c>
      <c r="D1836" t="s">
        <v>27</v>
      </c>
      <c r="E1836" t="s">
        <v>15</v>
      </c>
      <c r="F1836" t="s">
        <v>28</v>
      </c>
      <c r="G1836" t="s">
        <v>61</v>
      </c>
      <c r="H1836" t="s">
        <v>62</v>
      </c>
    </row>
    <row r="1837" spans="1:8" x14ac:dyDescent="0.2">
      <c r="A1837" t="s">
        <v>272</v>
      </c>
      <c r="B1837">
        <v>1150</v>
      </c>
      <c r="C1837" t="s">
        <v>33</v>
      </c>
      <c r="D1837" t="s">
        <v>27</v>
      </c>
      <c r="E1837" t="s">
        <v>15</v>
      </c>
      <c r="F1837" t="s">
        <v>28</v>
      </c>
      <c r="G1837" t="s">
        <v>273</v>
      </c>
      <c r="H1837" t="s">
        <v>62</v>
      </c>
    </row>
    <row r="1838" spans="1:8" x14ac:dyDescent="0.2">
      <c r="A1838" t="s">
        <v>274</v>
      </c>
      <c r="B1838">
        <v>235.50063067169191</v>
      </c>
      <c r="C1838" t="s">
        <v>33</v>
      </c>
      <c r="D1838" t="s">
        <v>27</v>
      </c>
      <c r="E1838" t="s">
        <v>15</v>
      </c>
      <c r="F1838" t="s">
        <v>28</v>
      </c>
      <c r="G1838" t="s">
        <v>500</v>
      </c>
      <c r="H1838" t="s">
        <v>275</v>
      </c>
    </row>
    <row r="1839" spans="1:8" x14ac:dyDescent="0.2">
      <c r="A1839" t="s">
        <v>276</v>
      </c>
      <c r="B1839">
        <v>-1121.666666666667</v>
      </c>
      <c r="C1839" t="s">
        <v>33</v>
      </c>
      <c r="D1839" t="s">
        <v>27</v>
      </c>
      <c r="E1839" t="s">
        <v>15</v>
      </c>
      <c r="F1839" t="s">
        <v>28</v>
      </c>
      <c r="G1839" t="s">
        <v>277</v>
      </c>
      <c r="H1839" t="s">
        <v>25</v>
      </c>
    </row>
    <row r="1840" spans="1:8" x14ac:dyDescent="0.2">
      <c r="A1840" t="s">
        <v>501</v>
      </c>
      <c r="B1840">
        <v>-235.50063067169191</v>
      </c>
      <c r="C1840" t="s">
        <v>33</v>
      </c>
      <c r="D1840" t="s">
        <v>27</v>
      </c>
      <c r="E1840" t="s">
        <v>15</v>
      </c>
      <c r="F1840" t="s">
        <v>28</v>
      </c>
      <c r="G1840" t="s">
        <v>502</v>
      </c>
      <c r="H1840" t="s">
        <v>25</v>
      </c>
    </row>
    <row r="1841" spans="1:8" x14ac:dyDescent="0.2">
      <c r="A1841" t="s">
        <v>412</v>
      </c>
      <c r="B1841">
        <v>1</v>
      </c>
      <c r="C1841" t="s">
        <v>26</v>
      </c>
      <c r="D1841" t="s">
        <v>10</v>
      </c>
      <c r="E1841" t="s">
        <v>15</v>
      </c>
      <c r="F1841" t="s">
        <v>24</v>
      </c>
      <c r="G1841" t="s">
        <v>69</v>
      </c>
      <c r="H1841" t="s">
        <v>25</v>
      </c>
    </row>
    <row r="1843" spans="1:8" ht="16" x14ac:dyDescent="0.2">
      <c r="A1843" s="1" t="s">
        <v>4</v>
      </c>
      <c r="B1843" s="1" t="s">
        <v>364</v>
      </c>
    </row>
    <row r="1844" spans="1:8" x14ac:dyDescent="0.2">
      <c r="A1844" t="s">
        <v>5</v>
      </c>
      <c r="B1844" t="s">
        <v>26</v>
      </c>
    </row>
    <row r="1845" spans="1:8" x14ac:dyDescent="0.2">
      <c r="A1845" t="s">
        <v>6</v>
      </c>
      <c r="B1845">
        <v>1</v>
      </c>
    </row>
    <row r="1846" spans="1:8" x14ac:dyDescent="0.2">
      <c r="A1846" t="s">
        <v>7</v>
      </c>
      <c r="B1846" t="s">
        <v>71</v>
      </c>
    </row>
    <row r="1847" spans="1:8" x14ac:dyDescent="0.2">
      <c r="A1847" t="s">
        <v>8</v>
      </c>
      <c r="B1847" t="s">
        <v>9</v>
      </c>
    </row>
    <row r="1848" spans="1:8" x14ac:dyDescent="0.2">
      <c r="A1848" t="s">
        <v>10</v>
      </c>
      <c r="B1848" t="s">
        <v>10</v>
      </c>
    </row>
    <row r="1849" spans="1:8" x14ac:dyDescent="0.2">
      <c r="A1849" t="s">
        <v>11</v>
      </c>
      <c r="B1849" t="s">
        <v>12</v>
      </c>
    </row>
    <row r="1850" spans="1:8" x14ac:dyDescent="0.2">
      <c r="A1850" t="s">
        <v>13</v>
      </c>
      <c r="B1850" t="s">
        <v>291</v>
      </c>
    </row>
    <row r="1851" spans="1:8" x14ac:dyDescent="0.2">
      <c r="A1851" t="s">
        <v>14</v>
      </c>
      <c r="B1851" t="s">
        <v>271</v>
      </c>
    </row>
    <row r="1852" spans="1:8" x14ac:dyDescent="0.2">
      <c r="A1852" t="s">
        <v>16</v>
      </c>
      <c r="B1852" t="s">
        <v>15</v>
      </c>
    </row>
    <row r="1853" spans="1:8" x14ac:dyDescent="0.2">
      <c r="A1853" t="s">
        <v>17</v>
      </c>
      <c r="B1853" t="s">
        <v>133</v>
      </c>
    </row>
    <row r="1854" spans="1:8" ht="16" x14ac:dyDescent="0.2">
      <c r="A1854" s="1" t="s">
        <v>18</v>
      </c>
    </row>
    <row r="1855" spans="1:8" x14ac:dyDescent="0.2">
      <c r="A1855" t="s">
        <v>19</v>
      </c>
      <c r="B1855" t="s">
        <v>20</v>
      </c>
      <c r="C1855" t="s">
        <v>5</v>
      </c>
      <c r="D1855" t="s">
        <v>10</v>
      </c>
      <c r="E1855" t="s">
        <v>22</v>
      </c>
      <c r="F1855" t="s">
        <v>8</v>
      </c>
      <c r="G1855" t="s">
        <v>7</v>
      </c>
      <c r="H1855" t="s">
        <v>23</v>
      </c>
    </row>
    <row r="1856" spans="1:8" x14ac:dyDescent="0.2">
      <c r="A1856" t="s">
        <v>486</v>
      </c>
      <c r="B1856">
        <v>82.175724637681157</v>
      </c>
      <c r="C1856" t="s">
        <v>26</v>
      </c>
      <c r="D1856" t="s">
        <v>27</v>
      </c>
      <c r="E1856" t="s">
        <v>15</v>
      </c>
      <c r="F1856" t="s">
        <v>28</v>
      </c>
      <c r="G1856" t="s">
        <v>487</v>
      </c>
      <c r="H1856" t="s">
        <v>25</v>
      </c>
    </row>
    <row r="1857" spans="1:8" x14ac:dyDescent="0.2">
      <c r="A1857" t="s">
        <v>61</v>
      </c>
      <c r="B1857">
        <v>119.7826086956522</v>
      </c>
      <c r="C1857" t="s">
        <v>33</v>
      </c>
      <c r="D1857" t="s">
        <v>27</v>
      </c>
      <c r="E1857" t="s">
        <v>15</v>
      </c>
      <c r="F1857" t="s">
        <v>28</v>
      </c>
      <c r="G1857" t="s">
        <v>61</v>
      </c>
      <c r="H1857" t="s">
        <v>62</v>
      </c>
    </row>
    <row r="1858" spans="1:8" x14ac:dyDescent="0.2">
      <c r="A1858" t="s">
        <v>272</v>
      </c>
      <c r="B1858">
        <v>1160</v>
      </c>
      <c r="C1858" t="s">
        <v>33</v>
      </c>
      <c r="D1858" t="s">
        <v>27</v>
      </c>
      <c r="E1858" t="s">
        <v>15</v>
      </c>
      <c r="F1858" t="s">
        <v>28</v>
      </c>
      <c r="G1858" t="s">
        <v>273</v>
      </c>
      <c r="H1858" t="s">
        <v>62</v>
      </c>
    </row>
    <row r="1859" spans="1:8" x14ac:dyDescent="0.2">
      <c r="A1859" t="s">
        <v>274</v>
      </c>
      <c r="B1859">
        <v>233.67091736047331</v>
      </c>
      <c r="C1859" t="s">
        <v>33</v>
      </c>
      <c r="D1859" t="s">
        <v>27</v>
      </c>
      <c r="E1859" t="s">
        <v>15</v>
      </c>
      <c r="F1859" t="s">
        <v>28</v>
      </c>
      <c r="G1859" t="s">
        <v>500</v>
      </c>
      <c r="H1859" t="s">
        <v>275</v>
      </c>
    </row>
    <row r="1860" spans="1:8" x14ac:dyDescent="0.2">
      <c r="A1860" t="s">
        <v>276</v>
      </c>
      <c r="B1860">
        <v>-1122.393115942029</v>
      </c>
      <c r="C1860" t="s">
        <v>33</v>
      </c>
      <c r="D1860" t="s">
        <v>27</v>
      </c>
      <c r="E1860" t="s">
        <v>15</v>
      </c>
      <c r="F1860" t="s">
        <v>28</v>
      </c>
      <c r="G1860" t="s">
        <v>277</v>
      </c>
      <c r="H1860" t="s">
        <v>25</v>
      </c>
    </row>
    <row r="1861" spans="1:8" x14ac:dyDescent="0.2">
      <c r="A1861" t="s">
        <v>501</v>
      </c>
      <c r="B1861">
        <v>-233.67091736047331</v>
      </c>
      <c r="C1861" t="s">
        <v>33</v>
      </c>
      <c r="D1861" t="s">
        <v>27</v>
      </c>
      <c r="E1861" t="s">
        <v>15</v>
      </c>
      <c r="F1861" t="s">
        <v>28</v>
      </c>
      <c r="G1861" t="s">
        <v>502</v>
      </c>
      <c r="H1861" t="s">
        <v>25</v>
      </c>
    </row>
    <row r="1862" spans="1:8" x14ac:dyDescent="0.2">
      <c r="A1862" t="s">
        <v>364</v>
      </c>
      <c r="B1862">
        <v>1</v>
      </c>
      <c r="C1862" t="s">
        <v>26</v>
      </c>
      <c r="D1862" t="s">
        <v>10</v>
      </c>
      <c r="E1862" t="s">
        <v>15</v>
      </c>
      <c r="F1862" t="s">
        <v>24</v>
      </c>
      <c r="G1862" t="s">
        <v>71</v>
      </c>
      <c r="H1862" t="s">
        <v>25</v>
      </c>
    </row>
    <row r="1864" spans="1:8" ht="16" x14ac:dyDescent="0.2">
      <c r="A1864" s="1" t="s">
        <v>4</v>
      </c>
      <c r="B1864" s="1" t="s">
        <v>308</v>
      </c>
    </row>
    <row r="1865" spans="1:8" x14ac:dyDescent="0.2">
      <c r="A1865" t="s">
        <v>5</v>
      </c>
      <c r="B1865" t="s">
        <v>26</v>
      </c>
    </row>
    <row r="1866" spans="1:8" x14ac:dyDescent="0.2">
      <c r="A1866" t="s">
        <v>6</v>
      </c>
      <c r="B1866">
        <v>1</v>
      </c>
    </row>
    <row r="1867" spans="1:8" x14ac:dyDescent="0.2">
      <c r="A1867" t="s">
        <v>7</v>
      </c>
      <c r="B1867" t="s">
        <v>73</v>
      </c>
    </row>
    <row r="1868" spans="1:8" x14ac:dyDescent="0.2">
      <c r="A1868" t="s">
        <v>8</v>
      </c>
      <c r="B1868" t="s">
        <v>9</v>
      </c>
    </row>
    <row r="1869" spans="1:8" x14ac:dyDescent="0.2">
      <c r="A1869" t="s">
        <v>10</v>
      </c>
      <c r="B1869" t="s">
        <v>10</v>
      </c>
    </row>
    <row r="1870" spans="1:8" x14ac:dyDescent="0.2">
      <c r="A1870" t="s">
        <v>11</v>
      </c>
      <c r="B1870" t="s">
        <v>12</v>
      </c>
    </row>
    <row r="1871" spans="1:8" x14ac:dyDescent="0.2">
      <c r="A1871" t="s">
        <v>13</v>
      </c>
      <c r="B1871" t="s">
        <v>291</v>
      </c>
    </row>
    <row r="1872" spans="1:8" x14ac:dyDescent="0.2">
      <c r="A1872" t="s">
        <v>14</v>
      </c>
      <c r="B1872" t="s">
        <v>271</v>
      </c>
    </row>
    <row r="1873" spans="1:8" x14ac:dyDescent="0.2">
      <c r="A1873" t="s">
        <v>16</v>
      </c>
      <c r="B1873" t="s">
        <v>15</v>
      </c>
    </row>
    <row r="1874" spans="1:8" x14ac:dyDescent="0.2">
      <c r="A1874" t="s">
        <v>17</v>
      </c>
      <c r="B1874" t="s">
        <v>134</v>
      </c>
    </row>
    <row r="1875" spans="1:8" ht="16" x14ac:dyDescent="0.2">
      <c r="A1875" s="1" t="s">
        <v>18</v>
      </c>
    </row>
    <row r="1876" spans="1:8" x14ac:dyDescent="0.2">
      <c r="A1876" t="s">
        <v>19</v>
      </c>
      <c r="B1876" t="s">
        <v>20</v>
      </c>
      <c r="C1876" t="s">
        <v>5</v>
      </c>
      <c r="D1876" t="s">
        <v>10</v>
      </c>
      <c r="E1876" t="s">
        <v>22</v>
      </c>
      <c r="F1876" t="s">
        <v>8</v>
      </c>
      <c r="G1876" t="s">
        <v>7</v>
      </c>
      <c r="H1876" t="s">
        <v>23</v>
      </c>
    </row>
    <row r="1877" spans="1:8" x14ac:dyDescent="0.2">
      <c r="A1877" t="s">
        <v>486</v>
      </c>
      <c r="B1877">
        <v>77.684782608695656</v>
      </c>
      <c r="C1877" t="s">
        <v>26</v>
      </c>
      <c r="D1877" t="s">
        <v>27</v>
      </c>
      <c r="E1877" t="s">
        <v>15</v>
      </c>
      <c r="F1877" t="s">
        <v>28</v>
      </c>
      <c r="G1877" t="s">
        <v>487</v>
      </c>
      <c r="H1877" t="s">
        <v>25</v>
      </c>
    </row>
    <row r="1878" spans="1:8" x14ac:dyDescent="0.2">
      <c r="A1878" t="s">
        <v>61</v>
      </c>
      <c r="B1878">
        <v>124.6304347826087</v>
      </c>
      <c r="C1878" t="s">
        <v>33</v>
      </c>
      <c r="D1878" t="s">
        <v>27</v>
      </c>
      <c r="E1878" t="s">
        <v>15</v>
      </c>
      <c r="F1878" t="s">
        <v>28</v>
      </c>
      <c r="G1878" t="s">
        <v>61</v>
      </c>
      <c r="H1878" t="s">
        <v>62</v>
      </c>
    </row>
    <row r="1879" spans="1:8" x14ac:dyDescent="0.2">
      <c r="A1879" t="s">
        <v>272</v>
      </c>
      <c r="B1879">
        <v>1170</v>
      </c>
      <c r="C1879" t="s">
        <v>33</v>
      </c>
      <c r="D1879" t="s">
        <v>27</v>
      </c>
      <c r="E1879" t="s">
        <v>15</v>
      </c>
      <c r="F1879" t="s">
        <v>28</v>
      </c>
      <c r="G1879" t="s">
        <v>273</v>
      </c>
      <c r="H1879" t="s">
        <v>62</v>
      </c>
    </row>
    <row r="1880" spans="1:8" x14ac:dyDescent="0.2">
      <c r="A1880" t="s">
        <v>274</v>
      </c>
      <c r="B1880">
        <v>231.83757808615991</v>
      </c>
      <c r="C1880" t="s">
        <v>33</v>
      </c>
      <c r="D1880" t="s">
        <v>27</v>
      </c>
      <c r="E1880" t="s">
        <v>15</v>
      </c>
      <c r="F1880" t="s">
        <v>28</v>
      </c>
      <c r="G1880" t="s">
        <v>500</v>
      </c>
      <c r="H1880" t="s">
        <v>275</v>
      </c>
    </row>
    <row r="1881" spans="1:8" x14ac:dyDescent="0.2">
      <c r="A1881" t="s">
        <v>276</v>
      </c>
      <c r="B1881">
        <v>-1123.054347826087</v>
      </c>
      <c r="C1881" t="s">
        <v>33</v>
      </c>
      <c r="D1881" t="s">
        <v>27</v>
      </c>
      <c r="E1881" t="s">
        <v>15</v>
      </c>
      <c r="F1881" t="s">
        <v>28</v>
      </c>
      <c r="G1881" t="s">
        <v>277</v>
      </c>
      <c r="H1881" t="s">
        <v>25</v>
      </c>
    </row>
    <row r="1882" spans="1:8" x14ac:dyDescent="0.2">
      <c r="A1882" t="s">
        <v>501</v>
      </c>
      <c r="B1882">
        <v>-231.83757808615991</v>
      </c>
      <c r="C1882" t="s">
        <v>33</v>
      </c>
      <c r="D1882" t="s">
        <v>27</v>
      </c>
      <c r="E1882" t="s">
        <v>15</v>
      </c>
      <c r="F1882" t="s">
        <v>28</v>
      </c>
      <c r="G1882" t="s">
        <v>502</v>
      </c>
      <c r="H1882" t="s">
        <v>25</v>
      </c>
    </row>
    <row r="1883" spans="1:8" x14ac:dyDescent="0.2">
      <c r="A1883" t="s">
        <v>308</v>
      </c>
      <c r="B1883">
        <v>1</v>
      </c>
      <c r="C1883" t="s">
        <v>26</v>
      </c>
      <c r="D1883" t="s">
        <v>10</v>
      </c>
      <c r="E1883" t="s">
        <v>15</v>
      </c>
      <c r="F1883" t="s">
        <v>24</v>
      </c>
      <c r="G1883" t="s">
        <v>73</v>
      </c>
      <c r="H1883" t="s">
        <v>25</v>
      </c>
    </row>
    <row r="1886" spans="1:8" ht="16" x14ac:dyDescent="0.2">
      <c r="A1886" s="1" t="s">
        <v>4</v>
      </c>
      <c r="B1886" s="1" t="s">
        <v>365</v>
      </c>
    </row>
    <row r="1887" spans="1:8" x14ac:dyDescent="0.2">
      <c r="A1887" t="s">
        <v>5</v>
      </c>
      <c r="B1887" t="s">
        <v>26</v>
      </c>
    </row>
    <row r="1888" spans="1:8" x14ac:dyDescent="0.2">
      <c r="A1888" t="s">
        <v>6</v>
      </c>
      <c r="B1888">
        <v>1</v>
      </c>
    </row>
    <row r="1889" spans="1:8" x14ac:dyDescent="0.2">
      <c r="A1889" t="s">
        <v>7</v>
      </c>
      <c r="B1889" t="s">
        <v>71</v>
      </c>
    </row>
    <row r="1890" spans="1:8" x14ac:dyDescent="0.2">
      <c r="A1890" t="s">
        <v>8</v>
      </c>
      <c r="B1890" t="s">
        <v>9</v>
      </c>
    </row>
    <row r="1891" spans="1:8" x14ac:dyDescent="0.2">
      <c r="A1891" t="s">
        <v>10</v>
      </c>
      <c r="B1891" t="s">
        <v>10</v>
      </c>
    </row>
    <row r="1892" spans="1:8" x14ac:dyDescent="0.2">
      <c r="A1892" t="s">
        <v>11</v>
      </c>
      <c r="B1892" t="s">
        <v>12</v>
      </c>
    </row>
    <row r="1893" spans="1:8" x14ac:dyDescent="0.2">
      <c r="A1893" t="s">
        <v>13</v>
      </c>
      <c r="B1893" t="s">
        <v>291</v>
      </c>
    </row>
    <row r="1894" spans="1:8" x14ac:dyDescent="0.2">
      <c r="A1894" t="s">
        <v>14</v>
      </c>
      <c r="B1894" t="s">
        <v>271</v>
      </c>
    </row>
    <row r="1895" spans="1:8" x14ac:dyDescent="0.2">
      <c r="A1895" t="s">
        <v>16</v>
      </c>
      <c r="B1895" t="s">
        <v>15</v>
      </c>
    </row>
    <row r="1896" spans="1:8" x14ac:dyDescent="0.2">
      <c r="A1896" t="s">
        <v>17</v>
      </c>
      <c r="B1896" t="s">
        <v>135</v>
      </c>
    </row>
    <row r="1897" spans="1:8" ht="16" x14ac:dyDescent="0.2">
      <c r="A1897" s="1" t="s">
        <v>18</v>
      </c>
    </row>
    <row r="1898" spans="1:8" x14ac:dyDescent="0.2">
      <c r="A1898" t="s">
        <v>19</v>
      </c>
      <c r="B1898" t="s">
        <v>20</v>
      </c>
      <c r="C1898" t="s">
        <v>5</v>
      </c>
      <c r="D1898" t="s">
        <v>10</v>
      </c>
      <c r="E1898" t="s">
        <v>22</v>
      </c>
      <c r="F1898" t="s">
        <v>8</v>
      </c>
      <c r="G1898" t="s">
        <v>7</v>
      </c>
      <c r="H1898" t="s">
        <v>23</v>
      </c>
    </row>
    <row r="1899" spans="1:8" x14ac:dyDescent="0.2">
      <c r="A1899" t="s">
        <v>610</v>
      </c>
      <c r="B1899">
        <v>4</v>
      </c>
      <c r="C1899" t="s">
        <v>33</v>
      </c>
      <c r="D1899" t="s">
        <v>39</v>
      </c>
      <c r="F1899" t="s">
        <v>28</v>
      </c>
      <c r="G1899" t="s">
        <v>611</v>
      </c>
      <c r="H1899" t="s">
        <v>34</v>
      </c>
    </row>
    <row r="1900" spans="1:8" x14ac:dyDescent="0.2">
      <c r="A1900" t="s">
        <v>61</v>
      </c>
      <c r="B1900">
        <v>118.9669217010044</v>
      </c>
      <c r="C1900" t="s">
        <v>33</v>
      </c>
      <c r="D1900" t="s">
        <v>27</v>
      </c>
      <c r="E1900" t="s">
        <v>15</v>
      </c>
      <c r="F1900" t="s">
        <v>28</v>
      </c>
      <c r="G1900" t="s">
        <v>61</v>
      </c>
      <c r="H1900" t="s">
        <v>62</v>
      </c>
    </row>
    <row r="1901" spans="1:8" x14ac:dyDescent="0.2">
      <c r="A1901" t="s">
        <v>283</v>
      </c>
      <c r="B1901">
        <v>5.9804347826086968</v>
      </c>
      <c r="C1901" t="s">
        <v>33</v>
      </c>
      <c r="D1901" t="s">
        <v>27</v>
      </c>
      <c r="E1901" t="s">
        <v>15</v>
      </c>
      <c r="F1901" t="s">
        <v>28</v>
      </c>
      <c r="G1901" t="s">
        <v>284</v>
      </c>
      <c r="H1901" t="s">
        <v>34</v>
      </c>
    </row>
    <row r="1902" spans="1:8" x14ac:dyDescent="0.2">
      <c r="A1902" t="s">
        <v>285</v>
      </c>
      <c r="B1902">
        <v>4.4853260869565226</v>
      </c>
      <c r="C1902" t="s">
        <v>33</v>
      </c>
      <c r="D1902" t="s">
        <v>27</v>
      </c>
      <c r="E1902" t="s">
        <v>15</v>
      </c>
      <c r="F1902" t="s">
        <v>28</v>
      </c>
      <c r="G1902" t="s">
        <v>286</v>
      </c>
      <c r="H1902" t="s">
        <v>34</v>
      </c>
    </row>
    <row r="1903" spans="1:8" x14ac:dyDescent="0.2">
      <c r="A1903" t="s">
        <v>278</v>
      </c>
      <c r="B1903">
        <v>33.274791392161717</v>
      </c>
      <c r="C1903" t="s">
        <v>33</v>
      </c>
      <c r="D1903" t="s">
        <v>27</v>
      </c>
      <c r="E1903" t="s">
        <v>15</v>
      </c>
      <c r="F1903" t="s">
        <v>28</v>
      </c>
      <c r="G1903" t="s">
        <v>279</v>
      </c>
      <c r="H1903" t="s">
        <v>275</v>
      </c>
    </row>
    <row r="1904" spans="1:8" x14ac:dyDescent="0.2">
      <c r="A1904" t="s">
        <v>272</v>
      </c>
      <c r="B1904">
        <v>1152.100715420253</v>
      </c>
      <c r="C1904" t="s">
        <v>33</v>
      </c>
      <c r="D1904" t="s">
        <v>27</v>
      </c>
      <c r="E1904" t="s">
        <v>15</v>
      </c>
      <c r="F1904" t="s">
        <v>28</v>
      </c>
      <c r="G1904" t="s">
        <v>273</v>
      </c>
      <c r="H1904" t="s">
        <v>62</v>
      </c>
    </row>
    <row r="1905" spans="1:8" x14ac:dyDescent="0.2">
      <c r="A1905" t="s">
        <v>274</v>
      </c>
      <c r="B1905">
        <v>263.10045607015297</v>
      </c>
      <c r="C1905" t="s">
        <v>33</v>
      </c>
      <c r="D1905" t="s">
        <v>27</v>
      </c>
      <c r="E1905" t="s">
        <v>15</v>
      </c>
      <c r="F1905" t="s">
        <v>28</v>
      </c>
      <c r="G1905" t="s">
        <v>500</v>
      </c>
      <c r="H1905" t="s">
        <v>275</v>
      </c>
    </row>
    <row r="1906" spans="1:8" x14ac:dyDescent="0.2">
      <c r="A1906" t="s">
        <v>287</v>
      </c>
      <c r="B1906">
        <v>8.9706521739130451</v>
      </c>
      <c r="C1906" t="s">
        <v>33</v>
      </c>
      <c r="D1906" t="s">
        <v>27</v>
      </c>
      <c r="E1906" t="s">
        <v>15</v>
      </c>
      <c r="F1906" t="s">
        <v>28</v>
      </c>
      <c r="G1906" t="s">
        <v>288</v>
      </c>
      <c r="H1906" t="s">
        <v>34</v>
      </c>
    </row>
    <row r="1907" spans="1:8" x14ac:dyDescent="0.2">
      <c r="A1907" t="s">
        <v>289</v>
      </c>
      <c r="B1907">
        <v>3.9869565217391298</v>
      </c>
      <c r="C1907" t="s">
        <v>33</v>
      </c>
      <c r="D1907" t="s">
        <v>27</v>
      </c>
      <c r="E1907" t="s">
        <v>15</v>
      </c>
      <c r="F1907" t="s">
        <v>28</v>
      </c>
      <c r="G1907" t="s">
        <v>290</v>
      </c>
      <c r="H1907" t="s">
        <v>34</v>
      </c>
    </row>
    <row r="1908" spans="1:8" x14ac:dyDescent="0.2">
      <c r="A1908" t="s">
        <v>280</v>
      </c>
      <c r="B1908">
        <v>-56.698160957379123</v>
      </c>
      <c r="C1908" t="s">
        <v>33</v>
      </c>
      <c r="D1908" t="s">
        <v>27</v>
      </c>
      <c r="E1908" t="s">
        <v>15</v>
      </c>
      <c r="F1908" t="s">
        <v>28</v>
      </c>
      <c r="G1908" t="s">
        <v>281</v>
      </c>
      <c r="H1908" t="s">
        <v>282</v>
      </c>
    </row>
    <row r="1909" spans="1:8" x14ac:dyDescent="0.2">
      <c r="A1909" t="s">
        <v>60</v>
      </c>
      <c r="B1909">
        <v>36.658333333333317</v>
      </c>
      <c r="C1909" t="s">
        <v>26</v>
      </c>
      <c r="D1909" t="s">
        <v>27</v>
      </c>
      <c r="E1909" t="s">
        <v>15</v>
      </c>
      <c r="F1909" t="s">
        <v>28</v>
      </c>
      <c r="G1909" t="s">
        <v>54</v>
      </c>
      <c r="H1909" t="s">
        <v>34</v>
      </c>
    </row>
    <row r="1910" spans="1:8" x14ac:dyDescent="0.2">
      <c r="A1910" t="s">
        <v>276</v>
      </c>
      <c r="B1910">
        <v>-1069.7921270525819</v>
      </c>
      <c r="C1910" t="s">
        <v>33</v>
      </c>
      <c r="D1910" t="s">
        <v>27</v>
      </c>
      <c r="E1910" t="s">
        <v>15</v>
      </c>
      <c r="F1910" t="s">
        <v>28</v>
      </c>
      <c r="G1910" t="s">
        <v>277</v>
      </c>
      <c r="H1910" t="s">
        <v>25</v>
      </c>
    </row>
    <row r="1911" spans="1:8" x14ac:dyDescent="0.2">
      <c r="A1911" t="s">
        <v>501</v>
      </c>
      <c r="B1911">
        <v>-263.10045607015297</v>
      </c>
      <c r="C1911" t="s">
        <v>33</v>
      </c>
      <c r="D1911" t="s">
        <v>27</v>
      </c>
      <c r="E1911" t="s">
        <v>15</v>
      </c>
      <c r="F1911" t="s">
        <v>28</v>
      </c>
      <c r="G1911" t="s">
        <v>502</v>
      </c>
      <c r="H1911" t="s">
        <v>25</v>
      </c>
    </row>
    <row r="1912" spans="1:8" x14ac:dyDescent="0.2">
      <c r="A1912" t="s">
        <v>56</v>
      </c>
      <c r="B1912">
        <v>190.9881176855526</v>
      </c>
      <c r="C1912" t="s">
        <v>63</v>
      </c>
      <c r="D1912" t="s">
        <v>39</v>
      </c>
      <c r="E1912" t="s">
        <v>15</v>
      </c>
      <c r="F1912" t="s">
        <v>28</v>
      </c>
      <c r="G1912" t="s">
        <v>58</v>
      </c>
      <c r="H1912" t="s">
        <v>34</v>
      </c>
    </row>
    <row r="1913" spans="1:8" x14ac:dyDescent="0.2">
      <c r="A1913" t="s">
        <v>365</v>
      </c>
      <c r="B1913">
        <v>1</v>
      </c>
      <c r="C1913" t="s">
        <v>26</v>
      </c>
      <c r="D1913" t="s">
        <v>10</v>
      </c>
      <c r="E1913" t="s">
        <v>15</v>
      </c>
      <c r="F1913" t="s">
        <v>24</v>
      </c>
      <c r="G1913" t="s">
        <v>71</v>
      </c>
      <c r="H1913" t="s">
        <v>25</v>
      </c>
    </row>
    <row r="1915" spans="1:8" ht="16" x14ac:dyDescent="0.2">
      <c r="A1915" s="1" t="s">
        <v>4</v>
      </c>
      <c r="B1915" s="1" t="s">
        <v>309</v>
      </c>
    </row>
    <row r="1916" spans="1:8" x14ac:dyDescent="0.2">
      <c r="A1916" t="s">
        <v>5</v>
      </c>
      <c r="B1916" t="s">
        <v>26</v>
      </c>
    </row>
    <row r="1917" spans="1:8" x14ac:dyDescent="0.2">
      <c r="A1917" t="s">
        <v>6</v>
      </c>
      <c r="B1917">
        <v>1</v>
      </c>
    </row>
    <row r="1918" spans="1:8" x14ac:dyDescent="0.2">
      <c r="A1918" t="s">
        <v>7</v>
      </c>
      <c r="B1918" t="s">
        <v>73</v>
      </c>
    </row>
    <row r="1919" spans="1:8" x14ac:dyDescent="0.2">
      <c r="A1919" t="s">
        <v>8</v>
      </c>
      <c r="B1919" t="s">
        <v>9</v>
      </c>
    </row>
    <row r="1920" spans="1:8" x14ac:dyDescent="0.2">
      <c r="A1920" t="s">
        <v>10</v>
      </c>
      <c r="B1920" t="s">
        <v>10</v>
      </c>
    </row>
    <row r="1921" spans="1:8" x14ac:dyDescent="0.2">
      <c r="A1921" t="s">
        <v>11</v>
      </c>
      <c r="B1921" t="s">
        <v>12</v>
      </c>
    </row>
    <row r="1922" spans="1:8" x14ac:dyDescent="0.2">
      <c r="A1922" t="s">
        <v>13</v>
      </c>
      <c r="B1922" t="s">
        <v>291</v>
      </c>
    </row>
    <row r="1923" spans="1:8" x14ac:dyDescent="0.2">
      <c r="A1923" t="s">
        <v>14</v>
      </c>
      <c r="B1923" t="s">
        <v>271</v>
      </c>
    </row>
    <row r="1924" spans="1:8" x14ac:dyDescent="0.2">
      <c r="A1924" t="s">
        <v>16</v>
      </c>
      <c r="B1924" t="s">
        <v>15</v>
      </c>
    </row>
    <row r="1925" spans="1:8" x14ac:dyDescent="0.2">
      <c r="A1925" t="s">
        <v>17</v>
      </c>
      <c r="B1925" t="s">
        <v>136</v>
      </c>
    </row>
    <row r="1926" spans="1:8" ht="16" x14ac:dyDescent="0.2">
      <c r="A1926" s="1" t="s">
        <v>18</v>
      </c>
    </row>
    <row r="1927" spans="1:8" x14ac:dyDescent="0.2">
      <c r="A1927" t="s">
        <v>19</v>
      </c>
      <c r="B1927" t="s">
        <v>20</v>
      </c>
      <c r="C1927" t="s">
        <v>5</v>
      </c>
      <c r="D1927" t="s">
        <v>10</v>
      </c>
      <c r="E1927" t="s">
        <v>22</v>
      </c>
      <c r="F1927" t="s">
        <v>8</v>
      </c>
      <c r="G1927" t="s">
        <v>7</v>
      </c>
      <c r="H1927" t="s">
        <v>23</v>
      </c>
    </row>
    <row r="1928" spans="1:8" x14ac:dyDescent="0.2">
      <c r="A1928" t="s">
        <v>610</v>
      </c>
      <c r="B1928">
        <f>41.3</f>
        <v>41.3</v>
      </c>
      <c r="C1928" t="s">
        <v>33</v>
      </c>
      <c r="D1928" t="s">
        <v>39</v>
      </c>
      <c r="F1928" t="s">
        <v>28</v>
      </c>
      <c r="G1928" t="s">
        <v>611</v>
      </c>
      <c r="H1928" t="s">
        <v>34</v>
      </c>
    </row>
    <row r="1929" spans="1:8" x14ac:dyDescent="0.2">
      <c r="A1929" t="s">
        <v>61</v>
      </c>
      <c r="B1929">
        <v>122.35274506535281</v>
      </c>
      <c r="C1929" t="s">
        <v>33</v>
      </c>
      <c r="D1929" t="s">
        <v>27</v>
      </c>
      <c r="E1929" t="s">
        <v>15</v>
      </c>
      <c r="F1929" t="s">
        <v>28</v>
      </c>
      <c r="G1929" t="s">
        <v>61</v>
      </c>
      <c r="H1929" t="s">
        <v>62</v>
      </c>
    </row>
    <row r="1930" spans="1:8" x14ac:dyDescent="0.2">
      <c r="A1930" t="s">
        <v>283</v>
      </c>
      <c r="B1930">
        <v>5.9608695652173918</v>
      </c>
      <c r="C1930" t="s">
        <v>33</v>
      </c>
      <c r="D1930" t="s">
        <v>27</v>
      </c>
      <c r="E1930" t="s">
        <v>15</v>
      </c>
      <c r="F1930" t="s">
        <v>28</v>
      </c>
      <c r="G1930" t="s">
        <v>284</v>
      </c>
      <c r="H1930" t="s">
        <v>34</v>
      </c>
    </row>
    <row r="1931" spans="1:8" x14ac:dyDescent="0.2">
      <c r="A1931" t="s">
        <v>285</v>
      </c>
      <c r="B1931">
        <v>4.4706521739130434</v>
      </c>
      <c r="C1931" t="s">
        <v>33</v>
      </c>
      <c r="D1931" t="s">
        <v>27</v>
      </c>
      <c r="E1931" t="s">
        <v>15</v>
      </c>
      <c r="F1931" t="s">
        <v>28</v>
      </c>
      <c r="G1931" t="s">
        <v>286</v>
      </c>
      <c r="H1931" t="s">
        <v>34</v>
      </c>
    </row>
    <row r="1932" spans="1:8" x14ac:dyDescent="0.2">
      <c r="A1932" t="s">
        <v>278</v>
      </c>
      <c r="B1932">
        <v>42.804615301450688</v>
      </c>
      <c r="C1932" t="s">
        <v>33</v>
      </c>
      <c r="D1932" t="s">
        <v>27</v>
      </c>
      <c r="E1932" t="s">
        <v>15</v>
      </c>
      <c r="F1932" t="s">
        <v>28</v>
      </c>
      <c r="G1932" t="s">
        <v>279</v>
      </c>
      <c r="H1932" t="s">
        <v>275</v>
      </c>
    </row>
    <row r="1933" spans="1:8" x14ac:dyDescent="0.2">
      <c r="A1933" t="s">
        <v>272</v>
      </c>
      <c r="B1933">
        <v>1148.617606735965</v>
      </c>
      <c r="C1933" t="s">
        <v>33</v>
      </c>
      <c r="D1933" t="s">
        <v>27</v>
      </c>
      <c r="E1933" t="s">
        <v>15</v>
      </c>
      <c r="F1933" t="s">
        <v>28</v>
      </c>
      <c r="G1933" t="s">
        <v>273</v>
      </c>
      <c r="H1933" t="s">
        <v>62</v>
      </c>
    </row>
    <row r="1934" spans="1:8" x14ac:dyDescent="0.2">
      <c r="A1934" t="s">
        <v>274</v>
      </c>
      <c r="B1934">
        <v>248.2603832064348</v>
      </c>
      <c r="C1934" t="s">
        <v>33</v>
      </c>
      <c r="D1934" t="s">
        <v>27</v>
      </c>
      <c r="E1934" t="s">
        <v>15</v>
      </c>
      <c r="F1934" t="s">
        <v>28</v>
      </c>
      <c r="G1934" t="s">
        <v>500</v>
      </c>
      <c r="H1934" t="s">
        <v>275</v>
      </c>
    </row>
    <row r="1935" spans="1:8" x14ac:dyDescent="0.2">
      <c r="A1935" t="s">
        <v>287</v>
      </c>
      <c r="B1935">
        <v>8.9413043478260867</v>
      </c>
      <c r="C1935" t="s">
        <v>33</v>
      </c>
      <c r="D1935" t="s">
        <v>27</v>
      </c>
      <c r="E1935" t="s">
        <v>15</v>
      </c>
      <c r="F1935" t="s">
        <v>28</v>
      </c>
      <c r="G1935" t="s">
        <v>288</v>
      </c>
      <c r="H1935" t="s">
        <v>34</v>
      </c>
    </row>
    <row r="1936" spans="1:8" x14ac:dyDescent="0.2">
      <c r="A1936" t="s">
        <v>289</v>
      </c>
      <c r="B1936">
        <v>3.973913043478261</v>
      </c>
      <c r="C1936" t="s">
        <v>33</v>
      </c>
      <c r="D1936" t="s">
        <v>27</v>
      </c>
      <c r="E1936" t="s">
        <v>15</v>
      </c>
      <c r="F1936" t="s">
        <v>28</v>
      </c>
      <c r="G1936" t="s">
        <v>290</v>
      </c>
      <c r="H1936" t="s">
        <v>34</v>
      </c>
    </row>
    <row r="1937" spans="1:8" x14ac:dyDescent="0.2">
      <c r="A1937" t="s">
        <v>280</v>
      </c>
      <c r="B1937">
        <v>-66.151354431885466</v>
      </c>
      <c r="C1937" t="s">
        <v>33</v>
      </c>
      <c r="D1937" t="s">
        <v>27</v>
      </c>
      <c r="E1937" t="s">
        <v>15</v>
      </c>
      <c r="F1937" t="s">
        <v>28</v>
      </c>
      <c r="G1937" t="s">
        <v>281</v>
      </c>
      <c r="H1937" t="s">
        <v>282</v>
      </c>
    </row>
    <row r="1938" spans="1:8" x14ac:dyDescent="0.2">
      <c r="A1938" t="s">
        <v>60</v>
      </c>
      <c r="B1938">
        <v>39.75</v>
      </c>
      <c r="C1938" t="s">
        <v>26</v>
      </c>
      <c r="D1938" t="s">
        <v>27</v>
      </c>
      <c r="E1938" t="s">
        <v>15</v>
      </c>
      <c r="F1938" t="s">
        <v>28</v>
      </c>
      <c r="G1938" t="s">
        <v>54</v>
      </c>
      <c r="H1938" t="s">
        <v>34</v>
      </c>
    </row>
    <row r="1939" spans="1:8" x14ac:dyDescent="0.2">
      <c r="A1939" t="s">
        <v>276</v>
      </c>
      <c r="B1939">
        <v>-1066.0148616706119</v>
      </c>
      <c r="C1939" t="s">
        <v>33</v>
      </c>
      <c r="D1939" t="s">
        <v>27</v>
      </c>
      <c r="E1939" t="s">
        <v>15</v>
      </c>
      <c r="F1939" t="s">
        <v>28</v>
      </c>
      <c r="G1939" t="s">
        <v>277</v>
      </c>
      <c r="H1939" t="s">
        <v>25</v>
      </c>
    </row>
    <row r="1940" spans="1:8" x14ac:dyDescent="0.2">
      <c r="A1940" t="s">
        <v>501</v>
      </c>
      <c r="B1940">
        <v>-248.2603832064348</v>
      </c>
      <c r="C1940" t="s">
        <v>33</v>
      </c>
      <c r="D1940" t="s">
        <v>27</v>
      </c>
      <c r="E1940" t="s">
        <v>15</v>
      </c>
      <c r="F1940" t="s">
        <v>28</v>
      </c>
      <c r="G1940" t="s">
        <v>502</v>
      </c>
      <c r="H1940" t="s">
        <v>25</v>
      </c>
    </row>
    <row r="1941" spans="1:8" x14ac:dyDescent="0.2">
      <c r="A1941" t="s">
        <v>56</v>
      </c>
      <c r="B1941">
        <v>165.26886016696281</v>
      </c>
      <c r="C1941" t="s">
        <v>63</v>
      </c>
      <c r="D1941" t="s">
        <v>39</v>
      </c>
      <c r="E1941" t="s">
        <v>15</v>
      </c>
      <c r="F1941" t="s">
        <v>28</v>
      </c>
      <c r="G1941" t="s">
        <v>58</v>
      </c>
      <c r="H1941" t="s">
        <v>34</v>
      </c>
    </row>
    <row r="1942" spans="1:8" x14ac:dyDescent="0.2">
      <c r="A1942" t="s">
        <v>309</v>
      </c>
      <c r="B1942">
        <v>1</v>
      </c>
      <c r="C1942" t="s">
        <v>26</v>
      </c>
      <c r="D1942" t="s">
        <v>10</v>
      </c>
      <c r="E1942" t="s">
        <v>15</v>
      </c>
      <c r="F1942" t="s">
        <v>24</v>
      </c>
      <c r="G1942" t="s">
        <v>73</v>
      </c>
      <c r="H1942" t="s">
        <v>25</v>
      </c>
    </row>
    <row r="1945" spans="1:8" ht="16" x14ac:dyDescent="0.2">
      <c r="A1945" s="1" t="s">
        <v>4</v>
      </c>
      <c r="B1945" s="1" t="s">
        <v>366</v>
      </c>
    </row>
    <row r="1946" spans="1:8" x14ac:dyDescent="0.2">
      <c r="A1946" t="s">
        <v>5</v>
      </c>
      <c r="B1946" t="s">
        <v>26</v>
      </c>
    </row>
    <row r="1947" spans="1:8" x14ac:dyDescent="0.2">
      <c r="A1947" t="s">
        <v>6</v>
      </c>
      <c r="B1947">
        <v>1</v>
      </c>
    </row>
    <row r="1948" spans="1:8" x14ac:dyDescent="0.2">
      <c r="A1948" t="s">
        <v>7</v>
      </c>
      <c r="B1948" t="s">
        <v>71</v>
      </c>
    </row>
    <row r="1949" spans="1:8" x14ac:dyDescent="0.2">
      <c r="A1949" t="s">
        <v>8</v>
      </c>
      <c r="B1949" t="s">
        <v>9</v>
      </c>
    </row>
    <row r="1950" spans="1:8" x14ac:dyDescent="0.2">
      <c r="A1950" t="s">
        <v>10</v>
      </c>
      <c r="B1950" t="s">
        <v>10</v>
      </c>
    </row>
    <row r="1951" spans="1:8" x14ac:dyDescent="0.2">
      <c r="A1951" t="s">
        <v>11</v>
      </c>
      <c r="B1951" t="s">
        <v>12</v>
      </c>
    </row>
    <row r="1952" spans="1:8" x14ac:dyDescent="0.2">
      <c r="A1952" t="s">
        <v>13</v>
      </c>
      <c r="B1952" t="s">
        <v>291</v>
      </c>
    </row>
    <row r="1953" spans="1:8" x14ac:dyDescent="0.2">
      <c r="A1953" t="s">
        <v>14</v>
      </c>
      <c r="B1953" t="s">
        <v>271</v>
      </c>
    </row>
    <row r="1954" spans="1:8" x14ac:dyDescent="0.2">
      <c r="A1954" t="s">
        <v>16</v>
      </c>
      <c r="B1954" t="s">
        <v>15</v>
      </c>
    </row>
    <row r="1955" spans="1:8" x14ac:dyDescent="0.2">
      <c r="A1955" t="s">
        <v>17</v>
      </c>
      <c r="B1955" t="s">
        <v>137</v>
      </c>
    </row>
    <row r="1956" spans="1:8" ht="16" x14ac:dyDescent="0.2">
      <c r="A1956" s="1" t="s">
        <v>18</v>
      </c>
    </row>
    <row r="1957" spans="1:8" x14ac:dyDescent="0.2">
      <c r="A1957" t="s">
        <v>19</v>
      </c>
      <c r="B1957" t="s">
        <v>20</v>
      </c>
      <c r="C1957" t="s">
        <v>5</v>
      </c>
      <c r="D1957" t="s">
        <v>10</v>
      </c>
      <c r="E1957" t="s">
        <v>22</v>
      </c>
      <c r="F1957" t="s">
        <v>8</v>
      </c>
      <c r="G1957" t="s">
        <v>7</v>
      </c>
      <c r="H1957" t="s">
        <v>23</v>
      </c>
    </row>
    <row r="1958" spans="1:8" x14ac:dyDescent="0.2">
      <c r="A1958" t="s">
        <v>610</v>
      </c>
      <c r="B1958">
        <f>31.8</f>
        <v>31.8</v>
      </c>
      <c r="C1958" t="s">
        <v>33</v>
      </c>
      <c r="D1958" t="s">
        <v>39</v>
      </c>
      <c r="F1958" t="s">
        <v>28</v>
      </c>
      <c r="G1958" t="s">
        <v>611</v>
      </c>
      <c r="H1958" t="s">
        <v>34</v>
      </c>
    </row>
    <row r="1959" spans="1:8" x14ac:dyDescent="0.2">
      <c r="A1959" t="s">
        <v>61</v>
      </c>
      <c r="B1959">
        <v>119.935195150856</v>
      </c>
      <c r="C1959" t="s">
        <v>33</v>
      </c>
      <c r="D1959" t="s">
        <v>27</v>
      </c>
      <c r="E1959" t="s">
        <v>15</v>
      </c>
      <c r="F1959" t="s">
        <v>28</v>
      </c>
      <c r="G1959" t="s">
        <v>61</v>
      </c>
      <c r="H1959" t="s">
        <v>62</v>
      </c>
    </row>
    <row r="1960" spans="1:8" x14ac:dyDescent="0.2">
      <c r="A1960" t="s">
        <v>283</v>
      </c>
      <c r="B1960">
        <v>5.9804347826086968</v>
      </c>
      <c r="C1960" t="s">
        <v>33</v>
      </c>
      <c r="D1960" t="s">
        <v>27</v>
      </c>
      <c r="E1960" t="s">
        <v>15</v>
      </c>
      <c r="F1960" t="s">
        <v>28</v>
      </c>
      <c r="G1960" t="s">
        <v>284</v>
      </c>
      <c r="H1960" t="s">
        <v>34</v>
      </c>
    </row>
    <row r="1961" spans="1:8" x14ac:dyDescent="0.2">
      <c r="A1961" t="s">
        <v>285</v>
      </c>
      <c r="B1961">
        <v>4.4853260869565226</v>
      </c>
      <c r="C1961" t="s">
        <v>33</v>
      </c>
      <c r="D1961" t="s">
        <v>27</v>
      </c>
      <c r="E1961" t="s">
        <v>15</v>
      </c>
      <c r="F1961" t="s">
        <v>28</v>
      </c>
      <c r="G1961" t="s">
        <v>286</v>
      </c>
      <c r="H1961" t="s">
        <v>34</v>
      </c>
    </row>
    <row r="1962" spans="1:8" x14ac:dyDescent="0.2">
      <c r="A1962" t="s">
        <v>278</v>
      </c>
      <c r="B1962">
        <v>33.274791392161717</v>
      </c>
      <c r="C1962" t="s">
        <v>33</v>
      </c>
      <c r="D1962" t="s">
        <v>27</v>
      </c>
      <c r="E1962" t="s">
        <v>15</v>
      </c>
      <c r="F1962" t="s">
        <v>28</v>
      </c>
      <c r="G1962" t="s">
        <v>279</v>
      </c>
      <c r="H1962" t="s">
        <v>275</v>
      </c>
    </row>
    <row r="1963" spans="1:8" x14ac:dyDescent="0.2">
      <c r="A1963" t="s">
        <v>272</v>
      </c>
      <c r="B1963">
        <v>1161.477679355658</v>
      </c>
      <c r="C1963" t="s">
        <v>33</v>
      </c>
      <c r="D1963" t="s">
        <v>27</v>
      </c>
      <c r="E1963" t="s">
        <v>15</v>
      </c>
      <c r="F1963" t="s">
        <v>28</v>
      </c>
      <c r="G1963" t="s">
        <v>273</v>
      </c>
      <c r="H1963" t="s">
        <v>62</v>
      </c>
    </row>
    <row r="1964" spans="1:8" x14ac:dyDescent="0.2">
      <c r="A1964" t="s">
        <v>274</v>
      </c>
      <c r="B1964">
        <v>235.86241379163059</v>
      </c>
      <c r="C1964" t="s">
        <v>33</v>
      </c>
      <c r="D1964" t="s">
        <v>27</v>
      </c>
      <c r="E1964" t="s">
        <v>15</v>
      </c>
      <c r="F1964" t="s">
        <v>28</v>
      </c>
      <c r="G1964" t="s">
        <v>500</v>
      </c>
      <c r="H1964" t="s">
        <v>275</v>
      </c>
    </row>
    <row r="1965" spans="1:8" x14ac:dyDescent="0.2">
      <c r="A1965" t="s">
        <v>287</v>
      </c>
      <c r="B1965">
        <v>8.9706521739130451</v>
      </c>
      <c r="C1965" t="s">
        <v>33</v>
      </c>
      <c r="D1965" t="s">
        <v>27</v>
      </c>
      <c r="E1965" t="s">
        <v>15</v>
      </c>
      <c r="F1965" t="s">
        <v>28</v>
      </c>
      <c r="G1965" t="s">
        <v>288</v>
      </c>
      <c r="H1965" t="s">
        <v>34</v>
      </c>
    </row>
    <row r="1966" spans="1:8" x14ac:dyDescent="0.2">
      <c r="A1966" t="s">
        <v>289</v>
      </c>
      <c r="B1966">
        <v>3.9869565217391298</v>
      </c>
      <c r="C1966" t="s">
        <v>33</v>
      </c>
      <c r="D1966" t="s">
        <v>27</v>
      </c>
      <c r="E1966" t="s">
        <v>15</v>
      </c>
      <c r="F1966" t="s">
        <v>28</v>
      </c>
      <c r="G1966" t="s">
        <v>290</v>
      </c>
      <c r="H1966" t="s">
        <v>34</v>
      </c>
    </row>
    <row r="1967" spans="1:8" x14ac:dyDescent="0.2">
      <c r="A1967" t="s">
        <v>280</v>
      </c>
      <c r="B1967">
        <v>-56.698160957379123</v>
      </c>
      <c r="C1967" t="s">
        <v>33</v>
      </c>
      <c r="D1967" t="s">
        <v>27</v>
      </c>
      <c r="E1967" t="s">
        <v>15</v>
      </c>
      <c r="F1967" t="s">
        <v>28</v>
      </c>
      <c r="G1967" t="s">
        <v>281</v>
      </c>
      <c r="H1967" t="s">
        <v>282</v>
      </c>
    </row>
    <row r="1968" spans="1:8" x14ac:dyDescent="0.2">
      <c r="A1968" t="s">
        <v>60</v>
      </c>
      <c r="B1968">
        <v>37.004166666666663</v>
      </c>
      <c r="C1968" t="s">
        <v>26</v>
      </c>
      <c r="D1968" t="s">
        <v>27</v>
      </c>
      <c r="E1968" t="s">
        <v>15</v>
      </c>
      <c r="F1968" t="s">
        <v>28</v>
      </c>
      <c r="G1968" t="s">
        <v>54</v>
      </c>
      <c r="H1968" t="s">
        <v>34</v>
      </c>
    </row>
    <row r="1969" spans="1:8" x14ac:dyDescent="0.2">
      <c r="A1969" t="s">
        <v>276</v>
      </c>
      <c r="B1969">
        <v>-1078.546650871469</v>
      </c>
      <c r="C1969" t="s">
        <v>33</v>
      </c>
      <c r="D1969" t="s">
        <v>27</v>
      </c>
      <c r="E1969" t="s">
        <v>15</v>
      </c>
      <c r="F1969" t="s">
        <v>28</v>
      </c>
      <c r="G1969" t="s">
        <v>277</v>
      </c>
      <c r="H1969" t="s">
        <v>25</v>
      </c>
    </row>
    <row r="1970" spans="1:8" x14ac:dyDescent="0.2">
      <c r="A1970" t="s">
        <v>501</v>
      </c>
      <c r="B1970">
        <v>-235.86241379163059</v>
      </c>
      <c r="C1970" t="s">
        <v>33</v>
      </c>
      <c r="D1970" t="s">
        <v>27</v>
      </c>
      <c r="E1970" t="s">
        <v>15</v>
      </c>
      <c r="F1970" t="s">
        <v>28</v>
      </c>
      <c r="G1970" t="s">
        <v>502</v>
      </c>
      <c r="H1970" t="s">
        <v>25</v>
      </c>
    </row>
    <row r="1971" spans="1:8" x14ac:dyDescent="0.2">
      <c r="A1971" t="s">
        <v>56</v>
      </c>
      <c r="B1971">
        <v>190.9881176855526</v>
      </c>
      <c r="C1971" t="s">
        <v>63</v>
      </c>
      <c r="D1971" t="s">
        <v>39</v>
      </c>
      <c r="E1971" t="s">
        <v>15</v>
      </c>
      <c r="F1971" t="s">
        <v>28</v>
      </c>
      <c r="G1971" t="s">
        <v>58</v>
      </c>
      <c r="H1971" t="s">
        <v>34</v>
      </c>
    </row>
    <row r="1972" spans="1:8" x14ac:dyDescent="0.2">
      <c r="A1972" t="s">
        <v>366</v>
      </c>
      <c r="B1972">
        <v>1</v>
      </c>
      <c r="C1972" t="s">
        <v>26</v>
      </c>
      <c r="D1972" t="s">
        <v>10</v>
      </c>
      <c r="E1972" t="s">
        <v>15</v>
      </c>
      <c r="F1972" t="s">
        <v>24</v>
      </c>
      <c r="G1972" t="s">
        <v>71</v>
      </c>
      <c r="H1972" t="s">
        <v>25</v>
      </c>
    </row>
    <row r="1974" spans="1:8" ht="16" x14ac:dyDescent="0.2">
      <c r="A1974" s="1" t="s">
        <v>4</v>
      </c>
      <c r="B1974" s="1" t="s">
        <v>310</v>
      </c>
    </row>
    <row r="1975" spans="1:8" x14ac:dyDescent="0.2">
      <c r="A1975" t="s">
        <v>5</v>
      </c>
      <c r="B1975" t="s">
        <v>26</v>
      </c>
    </row>
    <row r="1976" spans="1:8" x14ac:dyDescent="0.2">
      <c r="A1976" t="s">
        <v>6</v>
      </c>
      <c r="B1976">
        <v>1</v>
      </c>
    </row>
    <row r="1977" spans="1:8" x14ac:dyDescent="0.2">
      <c r="A1977" t="s">
        <v>7</v>
      </c>
      <c r="B1977" t="s">
        <v>73</v>
      </c>
    </row>
    <row r="1978" spans="1:8" x14ac:dyDescent="0.2">
      <c r="A1978" t="s">
        <v>8</v>
      </c>
      <c r="B1978" t="s">
        <v>9</v>
      </c>
    </row>
    <row r="1979" spans="1:8" x14ac:dyDescent="0.2">
      <c r="A1979" t="s">
        <v>10</v>
      </c>
      <c r="B1979" t="s">
        <v>10</v>
      </c>
    </row>
    <row r="1980" spans="1:8" x14ac:dyDescent="0.2">
      <c r="A1980" t="s">
        <v>11</v>
      </c>
      <c r="B1980" t="s">
        <v>12</v>
      </c>
    </row>
    <row r="1981" spans="1:8" x14ac:dyDescent="0.2">
      <c r="A1981" t="s">
        <v>13</v>
      </c>
      <c r="B1981" t="s">
        <v>291</v>
      </c>
    </row>
    <row r="1982" spans="1:8" x14ac:dyDescent="0.2">
      <c r="A1982" t="s">
        <v>14</v>
      </c>
      <c r="B1982" t="s">
        <v>271</v>
      </c>
    </row>
    <row r="1983" spans="1:8" x14ac:dyDescent="0.2">
      <c r="A1983" t="s">
        <v>16</v>
      </c>
      <c r="B1983" t="s">
        <v>15</v>
      </c>
    </row>
    <row r="1984" spans="1:8" x14ac:dyDescent="0.2">
      <c r="A1984" t="s">
        <v>17</v>
      </c>
      <c r="B1984" t="s">
        <v>138</v>
      </c>
    </row>
    <row r="1985" spans="1:8" ht="16" x14ac:dyDescent="0.2">
      <c r="A1985" s="1" t="s">
        <v>18</v>
      </c>
    </row>
    <row r="1986" spans="1:8" x14ac:dyDescent="0.2">
      <c r="A1986" t="s">
        <v>19</v>
      </c>
      <c r="B1986" t="s">
        <v>20</v>
      </c>
      <c r="C1986" t="s">
        <v>5</v>
      </c>
      <c r="D1986" t="s">
        <v>10</v>
      </c>
      <c r="E1986" t="s">
        <v>22</v>
      </c>
      <c r="F1986" t="s">
        <v>8</v>
      </c>
      <c r="G1986" t="s">
        <v>7</v>
      </c>
      <c r="H1986" t="s">
        <v>23</v>
      </c>
    </row>
    <row r="1987" spans="1:8" x14ac:dyDescent="0.2">
      <c r="A1987" t="s">
        <v>610</v>
      </c>
      <c r="B1987">
        <f>41.3</f>
        <v>41.3</v>
      </c>
      <c r="C1987" t="s">
        <v>33</v>
      </c>
      <c r="D1987" t="s">
        <v>39</v>
      </c>
      <c r="F1987" t="s">
        <v>28</v>
      </c>
      <c r="G1987" t="s">
        <v>611</v>
      </c>
      <c r="H1987" t="s">
        <v>34</v>
      </c>
    </row>
    <row r="1988" spans="1:8" x14ac:dyDescent="0.2">
      <c r="A1988" t="s">
        <v>61</v>
      </c>
      <c r="B1988">
        <v>122.35274506535281</v>
      </c>
      <c r="C1988" t="s">
        <v>33</v>
      </c>
      <c r="D1988" t="s">
        <v>27</v>
      </c>
      <c r="E1988" t="s">
        <v>15</v>
      </c>
      <c r="F1988" t="s">
        <v>28</v>
      </c>
      <c r="G1988" t="s">
        <v>61</v>
      </c>
      <c r="H1988" t="s">
        <v>62</v>
      </c>
    </row>
    <row r="1989" spans="1:8" x14ac:dyDescent="0.2">
      <c r="A1989" t="s">
        <v>283</v>
      </c>
      <c r="B1989">
        <v>5.9608695652173918</v>
      </c>
      <c r="C1989" t="s">
        <v>33</v>
      </c>
      <c r="D1989" t="s">
        <v>27</v>
      </c>
      <c r="E1989" t="s">
        <v>15</v>
      </c>
      <c r="F1989" t="s">
        <v>28</v>
      </c>
      <c r="G1989" t="s">
        <v>284</v>
      </c>
      <c r="H1989" t="s">
        <v>34</v>
      </c>
    </row>
    <row r="1990" spans="1:8" x14ac:dyDescent="0.2">
      <c r="A1990" t="s">
        <v>285</v>
      </c>
      <c r="B1990">
        <v>4.4706521739130434</v>
      </c>
      <c r="C1990" t="s">
        <v>33</v>
      </c>
      <c r="D1990" t="s">
        <v>27</v>
      </c>
      <c r="E1990" t="s">
        <v>15</v>
      </c>
      <c r="F1990" t="s">
        <v>28</v>
      </c>
      <c r="G1990" t="s">
        <v>286</v>
      </c>
      <c r="H1990" t="s">
        <v>34</v>
      </c>
    </row>
    <row r="1991" spans="1:8" x14ac:dyDescent="0.2">
      <c r="A1991" t="s">
        <v>278</v>
      </c>
      <c r="B1991">
        <v>42.804615301450688</v>
      </c>
      <c r="C1991" t="s">
        <v>33</v>
      </c>
      <c r="D1991" t="s">
        <v>27</v>
      </c>
      <c r="E1991" t="s">
        <v>15</v>
      </c>
      <c r="F1991" t="s">
        <v>28</v>
      </c>
      <c r="G1991" t="s">
        <v>279</v>
      </c>
      <c r="H1991" t="s">
        <v>275</v>
      </c>
    </row>
    <row r="1992" spans="1:8" x14ac:dyDescent="0.2">
      <c r="A1992" t="s">
        <v>272</v>
      </c>
      <c r="B1992">
        <v>1148.617606735965</v>
      </c>
      <c r="C1992" t="s">
        <v>33</v>
      </c>
      <c r="D1992" t="s">
        <v>27</v>
      </c>
      <c r="E1992" t="s">
        <v>15</v>
      </c>
      <c r="F1992" t="s">
        <v>28</v>
      </c>
      <c r="G1992" t="s">
        <v>273</v>
      </c>
      <c r="H1992" t="s">
        <v>62</v>
      </c>
    </row>
    <row r="1993" spans="1:8" x14ac:dyDescent="0.2">
      <c r="A1993" t="s">
        <v>274</v>
      </c>
      <c r="B1993">
        <v>228.20019280461511</v>
      </c>
      <c r="C1993" t="s">
        <v>33</v>
      </c>
      <c r="D1993" t="s">
        <v>27</v>
      </c>
      <c r="E1993" t="s">
        <v>15</v>
      </c>
      <c r="F1993" t="s">
        <v>28</v>
      </c>
      <c r="G1993" t="s">
        <v>500</v>
      </c>
      <c r="H1993" t="s">
        <v>275</v>
      </c>
    </row>
    <row r="1994" spans="1:8" x14ac:dyDescent="0.2">
      <c r="A1994" t="s">
        <v>287</v>
      </c>
      <c r="B1994">
        <v>8.9413043478260867</v>
      </c>
      <c r="C1994" t="s">
        <v>33</v>
      </c>
      <c r="D1994" t="s">
        <v>27</v>
      </c>
      <c r="E1994" t="s">
        <v>15</v>
      </c>
      <c r="F1994" t="s">
        <v>28</v>
      </c>
      <c r="G1994" t="s">
        <v>288</v>
      </c>
      <c r="H1994" t="s">
        <v>34</v>
      </c>
    </row>
    <row r="1995" spans="1:8" x14ac:dyDescent="0.2">
      <c r="A1995" t="s">
        <v>289</v>
      </c>
      <c r="B1995">
        <v>3.973913043478261</v>
      </c>
      <c r="C1995" t="s">
        <v>33</v>
      </c>
      <c r="D1995" t="s">
        <v>27</v>
      </c>
      <c r="E1995" t="s">
        <v>15</v>
      </c>
      <c r="F1995" t="s">
        <v>28</v>
      </c>
      <c r="G1995" t="s">
        <v>290</v>
      </c>
      <c r="H1995" t="s">
        <v>34</v>
      </c>
    </row>
    <row r="1996" spans="1:8" x14ac:dyDescent="0.2">
      <c r="A1996" t="s">
        <v>280</v>
      </c>
      <c r="B1996">
        <v>-66.151354431885466</v>
      </c>
      <c r="C1996" t="s">
        <v>33</v>
      </c>
      <c r="D1996" t="s">
        <v>27</v>
      </c>
      <c r="E1996" t="s">
        <v>15</v>
      </c>
      <c r="F1996" t="s">
        <v>28</v>
      </c>
      <c r="G1996" t="s">
        <v>281</v>
      </c>
      <c r="H1996" t="s">
        <v>282</v>
      </c>
    </row>
    <row r="1997" spans="1:8" x14ac:dyDescent="0.2">
      <c r="A1997" t="s">
        <v>60</v>
      </c>
      <c r="B1997">
        <v>40.124999999999993</v>
      </c>
      <c r="C1997" t="s">
        <v>26</v>
      </c>
      <c r="D1997" t="s">
        <v>27</v>
      </c>
      <c r="E1997" t="s">
        <v>15</v>
      </c>
      <c r="F1997" t="s">
        <v>28</v>
      </c>
      <c r="G1997" t="s">
        <v>54</v>
      </c>
      <c r="H1997" t="s">
        <v>34</v>
      </c>
    </row>
    <row r="1998" spans="1:8" x14ac:dyDescent="0.2">
      <c r="A1998" t="s">
        <v>276</v>
      </c>
      <c r="B1998">
        <v>-1066.3898616706119</v>
      </c>
      <c r="C1998" t="s">
        <v>33</v>
      </c>
      <c r="D1998" t="s">
        <v>27</v>
      </c>
      <c r="E1998" t="s">
        <v>15</v>
      </c>
      <c r="F1998" t="s">
        <v>28</v>
      </c>
      <c r="G1998" t="s">
        <v>277</v>
      </c>
      <c r="H1998" t="s">
        <v>25</v>
      </c>
    </row>
    <row r="1999" spans="1:8" x14ac:dyDescent="0.2">
      <c r="A1999" t="s">
        <v>501</v>
      </c>
      <c r="B1999">
        <v>-228.20019280461511</v>
      </c>
      <c r="C1999" t="s">
        <v>33</v>
      </c>
      <c r="D1999" t="s">
        <v>27</v>
      </c>
      <c r="E1999" t="s">
        <v>15</v>
      </c>
      <c r="F1999" t="s">
        <v>28</v>
      </c>
      <c r="G1999" t="s">
        <v>502</v>
      </c>
      <c r="H1999" t="s">
        <v>25</v>
      </c>
    </row>
    <row r="2000" spans="1:8" x14ac:dyDescent="0.2">
      <c r="A2000" t="s">
        <v>56</v>
      </c>
      <c r="B2000">
        <v>165.26886016696281</v>
      </c>
      <c r="C2000" t="s">
        <v>63</v>
      </c>
      <c r="D2000" t="s">
        <v>39</v>
      </c>
      <c r="E2000" t="s">
        <v>15</v>
      </c>
      <c r="F2000" t="s">
        <v>28</v>
      </c>
      <c r="G2000" t="s">
        <v>58</v>
      </c>
      <c r="H2000" t="s">
        <v>34</v>
      </c>
    </row>
    <row r="2001" spans="1:8" x14ac:dyDescent="0.2">
      <c r="A2001" t="s">
        <v>310</v>
      </c>
      <c r="B2001">
        <v>1</v>
      </c>
      <c r="C2001" t="s">
        <v>26</v>
      </c>
      <c r="D2001" t="s">
        <v>10</v>
      </c>
      <c r="E2001" t="s">
        <v>15</v>
      </c>
      <c r="F2001" t="s">
        <v>24</v>
      </c>
      <c r="G2001" t="s">
        <v>73</v>
      </c>
      <c r="H2001" t="s">
        <v>25</v>
      </c>
    </row>
    <row r="2004" spans="1:8" ht="16" x14ac:dyDescent="0.2">
      <c r="A2004" s="1" t="s">
        <v>4</v>
      </c>
      <c r="B2004" s="1" t="s">
        <v>478</v>
      </c>
    </row>
    <row r="2005" spans="1:8" x14ac:dyDescent="0.2">
      <c r="A2005" t="s">
        <v>5</v>
      </c>
      <c r="B2005" t="s">
        <v>26</v>
      </c>
    </row>
    <row r="2006" spans="1:8" x14ac:dyDescent="0.2">
      <c r="A2006" t="s">
        <v>6</v>
      </c>
      <c r="B2006">
        <v>1</v>
      </c>
    </row>
    <row r="2007" spans="1:8" x14ac:dyDescent="0.2">
      <c r="A2007" t="s">
        <v>7</v>
      </c>
      <c r="B2007" t="s">
        <v>88</v>
      </c>
    </row>
    <row r="2008" spans="1:8" x14ac:dyDescent="0.2">
      <c r="A2008" t="s">
        <v>8</v>
      </c>
      <c r="B2008" t="s">
        <v>9</v>
      </c>
    </row>
    <row r="2009" spans="1:8" x14ac:dyDescent="0.2">
      <c r="A2009" t="s">
        <v>10</v>
      </c>
      <c r="B2009" t="s">
        <v>10</v>
      </c>
    </row>
    <row r="2010" spans="1:8" x14ac:dyDescent="0.2">
      <c r="A2010" t="s">
        <v>11</v>
      </c>
      <c r="B2010" t="s">
        <v>12</v>
      </c>
    </row>
    <row r="2011" spans="1:8" x14ac:dyDescent="0.2">
      <c r="A2011" t="s">
        <v>13</v>
      </c>
      <c r="B2011" t="s">
        <v>291</v>
      </c>
    </row>
    <row r="2012" spans="1:8" x14ac:dyDescent="0.2">
      <c r="A2012" t="s">
        <v>14</v>
      </c>
      <c r="B2012" t="s">
        <v>271</v>
      </c>
    </row>
    <row r="2013" spans="1:8" x14ac:dyDescent="0.2">
      <c r="A2013" t="s">
        <v>16</v>
      </c>
      <c r="B2013" t="s">
        <v>15</v>
      </c>
    </row>
    <row r="2014" spans="1:8" x14ac:dyDescent="0.2">
      <c r="A2014" t="s">
        <v>17</v>
      </c>
      <c r="B2014" t="s">
        <v>139</v>
      </c>
    </row>
    <row r="2015" spans="1:8" ht="16" x14ac:dyDescent="0.2">
      <c r="A2015" s="1" t="s">
        <v>18</v>
      </c>
    </row>
    <row r="2016" spans="1:8" x14ac:dyDescent="0.2">
      <c r="A2016" t="s">
        <v>19</v>
      </c>
      <c r="B2016" t="s">
        <v>20</v>
      </c>
      <c r="C2016" t="s">
        <v>5</v>
      </c>
      <c r="D2016" t="s">
        <v>10</v>
      </c>
      <c r="E2016" t="s">
        <v>22</v>
      </c>
      <c r="F2016" t="s">
        <v>8</v>
      </c>
      <c r="G2016" t="s">
        <v>7</v>
      </c>
      <c r="H2016" t="s">
        <v>23</v>
      </c>
    </row>
    <row r="2017" spans="1:8" x14ac:dyDescent="0.2">
      <c r="A2017" t="s">
        <v>610</v>
      </c>
      <c r="B2017">
        <f>20.85</f>
        <v>20.85</v>
      </c>
      <c r="C2017" t="s">
        <v>33</v>
      </c>
      <c r="D2017" t="s">
        <v>39</v>
      </c>
      <c r="F2017" t="s">
        <v>28</v>
      </c>
      <c r="G2017" t="s">
        <v>611</v>
      </c>
      <c r="H2017" t="s">
        <v>34</v>
      </c>
    </row>
    <row r="2018" spans="1:8" x14ac:dyDescent="0.2">
      <c r="A2018" t="s">
        <v>484</v>
      </c>
      <c r="B2018">
        <v>88.043478260869563</v>
      </c>
      <c r="C2018" t="s">
        <v>26</v>
      </c>
      <c r="D2018" t="s">
        <v>27</v>
      </c>
      <c r="E2018" t="s">
        <v>15</v>
      </c>
      <c r="F2018" t="s">
        <v>28</v>
      </c>
      <c r="G2018" t="s">
        <v>485</v>
      </c>
      <c r="H2018" t="s">
        <v>34</v>
      </c>
    </row>
    <row r="2019" spans="1:8" x14ac:dyDescent="0.2">
      <c r="A2019" t="s">
        <v>61</v>
      </c>
      <c r="B2019">
        <v>124.6304347826087</v>
      </c>
      <c r="C2019" t="s">
        <v>33</v>
      </c>
      <c r="D2019" t="s">
        <v>27</v>
      </c>
      <c r="E2019" t="s">
        <v>15</v>
      </c>
      <c r="F2019" t="s">
        <v>28</v>
      </c>
      <c r="G2019" t="s">
        <v>61</v>
      </c>
      <c r="H2019" t="s">
        <v>62</v>
      </c>
    </row>
    <row r="2020" spans="1:8" ht="16" x14ac:dyDescent="0.2">
      <c r="A2020" s="2" t="s">
        <v>503</v>
      </c>
      <c r="B2020">
        <v>20</v>
      </c>
      <c r="C2020" t="s">
        <v>505</v>
      </c>
      <c r="D2020" t="s">
        <v>10</v>
      </c>
      <c r="E2020" t="s">
        <v>15</v>
      </c>
      <c r="F2020" t="s">
        <v>28</v>
      </c>
      <c r="G2020" t="s">
        <v>504</v>
      </c>
      <c r="H2020" t="s">
        <v>34</v>
      </c>
    </row>
    <row r="2021" spans="1:8" x14ac:dyDescent="0.2">
      <c r="A2021" t="s">
        <v>285</v>
      </c>
      <c r="B2021">
        <v>4.4706521739130434</v>
      </c>
      <c r="C2021" t="s">
        <v>33</v>
      </c>
      <c r="D2021" t="s">
        <v>27</v>
      </c>
      <c r="E2021" t="s">
        <v>15</v>
      </c>
      <c r="F2021" t="s">
        <v>28</v>
      </c>
      <c r="G2021" t="s">
        <v>286</v>
      </c>
      <c r="H2021" t="s">
        <v>34</v>
      </c>
    </row>
    <row r="2022" spans="1:8" x14ac:dyDescent="0.2">
      <c r="A2022" t="s">
        <v>278</v>
      </c>
      <c r="B2022">
        <v>71.01064336535191</v>
      </c>
      <c r="C2022" t="s">
        <v>33</v>
      </c>
      <c r="D2022" t="s">
        <v>27</v>
      </c>
      <c r="E2022" t="s">
        <v>15</v>
      </c>
      <c r="F2022" t="s">
        <v>28</v>
      </c>
      <c r="G2022" t="s">
        <v>279</v>
      </c>
      <c r="H2022" t="s">
        <v>275</v>
      </c>
    </row>
    <row r="2023" spans="1:8" x14ac:dyDescent="0.2">
      <c r="A2023" t="s">
        <v>272</v>
      </c>
      <c r="B2023">
        <v>1170</v>
      </c>
      <c r="C2023" t="s">
        <v>33</v>
      </c>
      <c r="D2023" t="s">
        <v>27</v>
      </c>
      <c r="E2023" t="s">
        <v>15</v>
      </c>
      <c r="F2023" t="s">
        <v>28</v>
      </c>
      <c r="G2023" t="s">
        <v>273</v>
      </c>
      <c r="H2023" t="s">
        <v>62</v>
      </c>
    </row>
    <row r="2024" spans="1:8" x14ac:dyDescent="0.2">
      <c r="A2024" t="s">
        <v>274</v>
      </c>
      <c r="B2024">
        <v>75.004217075606817</v>
      </c>
      <c r="C2024" t="s">
        <v>33</v>
      </c>
      <c r="D2024" t="s">
        <v>27</v>
      </c>
      <c r="E2024" t="s">
        <v>15</v>
      </c>
      <c r="F2024" t="s">
        <v>28</v>
      </c>
      <c r="G2024" t="s">
        <v>500</v>
      </c>
      <c r="H2024" t="s">
        <v>275</v>
      </c>
    </row>
    <row r="2025" spans="1:8" x14ac:dyDescent="0.2">
      <c r="A2025" t="s">
        <v>287</v>
      </c>
      <c r="B2025">
        <v>8.9413043478260867</v>
      </c>
      <c r="C2025" t="s">
        <v>33</v>
      </c>
      <c r="D2025" t="s">
        <v>27</v>
      </c>
      <c r="E2025" t="s">
        <v>15</v>
      </c>
      <c r="F2025" t="s">
        <v>28</v>
      </c>
      <c r="G2025" t="s">
        <v>288</v>
      </c>
      <c r="H2025" t="s">
        <v>34</v>
      </c>
    </row>
    <row r="2026" spans="1:8" x14ac:dyDescent="0.2">
      <c r="A2026" t="s">
        <v>289</v>
      </c>
      <c r="B2026">
        <v>3.973913043478261</v>
      </c>
      <c r="C2026" t="s">
        <v>33</v>
      </c>
      <c r="D2026" t="s">
        <v>27</v>
      </c>
      <c r="E2026" t="s">
        <v>15</v>
      </c>
      <c r="F2026" t="s">
        <v>28</v>
      </c>
      <c r="G2026" t="s">
        <v>290</v>
      </c>
      <c r="H2026" t="s">
        <v>34</v>
      </c>
    </row>
    <row r="2027" spans="1:8" x14ac:dyDescent="0.2">
      <c r="A2027" t="s">
        <v>280</v>
      </c>
      <c r="B2027">
        <v>-247.8822248687095</v>
      </c>
      <c r="C2027" t="s">
        <v>33</v>
      </c>
      <c r="D2027" t="s">
        <v>27</v>
      </c>
      <c r="E2027" t="s">
        <v>15</v>
      </c>
      <c r="F2027" t="s">
        <v>28</v>
      </c>
      <c r="G2027" t="s">
        <v>281</v>
      </c>
      <c r="H2027" t="s">
        <v>282</v>
      </c>
    </row>
    <row r="2028" spans="1:8" x14ac:dyDescent="0.2">
      <c r="A2028" t="s">
        <v>276</v>
      </c>
      <c r="B2028">
        <v>-1133.413043478261</v>
      </c>
      <c r="C2028" t="s">
        <v>33</v>
      </c>
      <c r="D2028" t="s">
        <v>27</v>
      </c>
      <c r="E2028" t="s">
        <v>15</v>
      </c>
      <c r="F2028" t="s">
        <v>28</v>
      </c>
      <c r="G2028" t="s">
        <v>277</v>
      </c>
      <c r="H2028" t="s">
        <v>25</v>
      </c>
    </row>
    <row r="2029" spans="1:8" x14ac:dyDescent="0.2">
      <c r="A2029" t="s">
        <v>501</v>
      </c>
      <c r="B2029">
        <v>-75.004217075606817</v>
      </c>
      <c r="C2029" t="s">
        <v>33</v>
      </c>
      <c r="D2029" t="s">
        <v>27</v>
      </c>
      <c r="E2029" t="s">
        <v>15</v>
      </c>
      <c r="F2029" t="s">
        <v>28</v>
      </c>
      <c r="G2029" t="s">
        <v>502</v>
      </c>
      <c r="H2029" t="s">
        <v>25</v>
      </c>
    </row>
    <row r="2030" spans="1:8" x14ac:dyDescent="0.2">
      <c r="A2030" t="s">
        <v>56</v>
      </c>
      <c r="B2030">
        <v>83.424906472510926</v>
      </c>
      <c r="C2030" t="s">
        <v>63</v>
      </c>
      <c r="D2030" t="s">
        <v>39</v>
      </c>
      <c r="E2030" t="s">
        <v>15</v>
      </c>
      <c r="F2030" t="s">
        <v>28</v>
      </c>
      <c r="G2030" t="s">
        <v>58</v>
      </c>
      <c r="H2030" t="s">
        <v>34</v>
      </c>
    </row>
    <row r="2031" spans="1:8" x14ac:dyDescent="0.2">
      <c r="A2031" t="s">
        <v>478</v>
      </c>
      <c r="B2031">
        <v>1</v>
      </c>
      <c r="C2031" t="s">
        <v>26</v>
      </c>
      <c r="D2031" t="s">
        <v>10</v>
      </c>
      <c r="E2031" t="s">
        <v>15</v>
      </c>
      <c r="F2031" t="s">
        <v>24</v>
      </c>
      <c r="G2031" t="s">
        <v>88</v>
      </c>
      <c r="H2031" t="s">
        <v>25</v>
      </c>
    </row>
    <row r="2034" spans="1:8" ht="16" x14ac:dyDescent="0.2">
      <c r="A2034" s="1" t="s">
        <v>4</v>
      </c>
      <c r="B2034" s="1" t="s">
        <v>490</v>
      </c>
    </row>
    <row r="2035" spans="1:8" x14ac:dyDescent="0.2">
      <c r="A2035" t="s">
        <v>5</v>
      </c>
      <c r="B2035" t="s">
        <v>26</v>
      </c>
    </row>
    <row r="2036" spans="1:8" x14ac:dyDescent="0.2">
      <c r="A2036" t="s">
        <v>6</v>
      </c>
      <c r="B2036">
        <v>1</v>
      </c>
    </row>
    <row r="2037" spans="1:8" x14ac:dyDescent="0.2">
      <c r="A2037" t="s">
        <v>7</v>
      </c>
      <c r="B2037" t="s">
        <v>88</v>
      </c>
    </row>
    <row r="2038" spans="1:8" x14ac:dyDescent="0.2">
      <c r="A2038" t="s">
        <v>8</v>
      </c>
      <c r="B2038" t="s">
        <v>9</v>
      </c>
    </row>
    <row r="2039" spans="1:8" x14ac:dyDescent="0.2">
      <c r="A2039" t="s">
        <v>10</v>
      </c>
      <c r="B2039" t="s">
        <v>10</v>
      </c>
    </row>
    <row r="2040" spans="1:8" x14ac:dyDescent="0.2">
      <c r="A2040" t="s">
        <v>11</v>
      </c>
      <c r="B2040" t="s">
        <v>12</v>
      </c>
    </row>
    <row r="2041" spans="1:8" x14ac:dyDescent="0.2">
      <c r="A2041" t="s">
        <v>13</v>
      </c>
      <c r="B2041" t="s">
        <v>291</v>
      </c>
    </row>
    <row r="2042" spans="1:8" x14ac:dyDescent="0.2">
      <c r="A2042" t="s">
        <v>14</v>
      </c>
      <c r="B2042" t="s">
        <v>271</v>
      </c>
    </row>
    <row r="2043" spans="1:8" x14ac:dyDescent="0.2">
      <c r="A2043" t="s">
        <v>16</v>
      </c>
      <c r="B2043" t="s">
        <v>15</v>
      </c>
    </row>
    <row r="2044" spans="1:8" x14ac:dyDescent="0.2">
      <c r="A2044" t="s">
        <v>17</v>
      </c>
      <c r="B2044" t="s">
        <v>140</v>
      </c>
    </row>
    <row r="2045" spans="1:8" ht="16" x14ac:dyDescent="0.2">
      <c r="A2045" s="1" t="s">
        <v>18</v>
      </c>
    </row>
    <row r="2046" spans="1:8" x14ac:dyDescent="0.2">
      <c r="A2046" t="s">
        <v>19</v>
      </c>
      <c r="B2046" t="s">
        <v>20</v>
      </c>
      <c r="C2046" t="s">
        <v>5</v>
      </c>
      <c r="D2046" t="s">
        <v>10</v>
      </c>
      <c r="E2046" t="s">
        <v>22</v>
      </c>
      <c r="F2046" t="s">
        <v>8</v>
      </c>
      <c r="G2046" t="s">
        <v>7</v>
      </c>
      <c r="H2046" t="s">
        <v>23</v>
      </c>
    </row>
    <row r="2047" spans="1:8" x14ac:dyDescent="0.2">
      <c r="A2047" t="s">
        <v>610</v>
      </c>
      <c r="B2047">
        <v>43</v>
      </c>
      <c r="C2047" t="s">
        <v>33</v>
      </c>
      <c r="D2047" t="s">
        <v>39</v>
      </c>
      <c r="F2047" t="s">
        <v>28</v>
      </c>
      <c r="G2047" t="s">
        <v>611</v>
      </c>
      <c r="H2047" t="s">
        <v>34</v>
      </c>
    </row>
    <row r="2048" spans="1:8" x14ac:dyDescent="0.2">
      <c r="A2048" t="s">
        <v>61</v>
      </c>
      <c r="B2048">
        <v>163.80000000000001</v>
      </c>
      <c r="C2048" t="s">
        <v>33</v>
      </c>
      <c r="D2048" t="s">
        <v>27</v>
      </c>
      <c r="E2048" t="s">
        <v>15</v>
      </c>
      <c r="F2048" t="s">
        <v>28</v>
      </c>
      <c r="G2048" t="s">
        <v>61</v>
      </c>
      <c r="H2048" t="s">
        <v>62</v>
      </c>
    </row>
    <row r="2049" spans="1:8" x14ac:dyDescent="0.2">
      <c r="A2049" t="s">
        <v>283</v>
      </c>
      <c r="B2049">
        <v>5.9608695652173918</v>
      </c>
      <c r="C2049" t="s">
        <v>33</v>
      </c>
      <c r="D2049" t="s">
        <v>27</v>
      </c>
      <c r="E2049" t="s">
        <v>15</v>
      </c>
      <c r="F2049" t="s">
        <v>28</v>
      </c>
      <c r="G2049" t="s">
        <v>284</v>
      </c>
      <c r="H2049" t="s">
        <v>34</v>
      </c>
    </row>
    <row r="2050" spans="1:8" x14ac:dyDescent="0.2">
      <c r="A2050" t="s">
        <v>285</v>
      </c>
      <c r="B2050">
        <v>4.4706521739130434</v>
      </c>
      <c r="C2050" t="s">
        <v>33</v>
      </c>
      <c r="D2050" t="s">
        <v>27</v>
      </c>
      <c r="E2050" t="s">
        <v>15</v>
      </c>
      <c r="F2050" t="s">
        <v>28</v>
      </c>
      <c r="G2050" t="s">
        <v>286</v>
      </c>
      <c r="H2050" t="s">
        <v>34</v>
      </c>
    </row>
    <row r="2051" spans="1:8" x14ac:dyDescent="0.2">
      <c r="A2051" t="s">
        <v>278</v>
      </c>
      <c r="B2051">
        <v>73.231101190401134</v>
      </c>
      <c r="C2051" t="s">
        <v>33</v>
      </c>
      <c r="D2051" t="s">
        <v>27</v>
      </c>
      <c r="E2051" t="s">
        <v>15</v>
      </c>
      <c r="F2051" t="s">
        <v>28</v>
      </c>
      <c r="G2051" t="s">
        <v>279</v>
      </c>
      <c r="H2051" t="s">
        <v>275</v>
      </c>
    </row>
    <row r="2052" spans="1:8" x14ac:dyDescent="0.2">
      <c r="A2052" t="s">
        <v>272</v>
      </c>
      <c r="B2052">
        <v>1170</v>
      </c>
      <c r="C2052" t="s">
        <v>33</v>
      </c>
      <c r="D2052" t="s">
        <v>27</v>
      </c>
      <c r="E2052" t="s">
        <v>15</v>
      </c>
      <c r="F2052" t="s">
        <v>28</v>
      </c>
      <c r="G2052" t="s">
        <v>273</v>
      </c>
      <c r="H2052" t="s">
        <v>62</v>
      </c>
    </row>
    <row r="2053" spans="1:8" x14ac:dyDescent="0.2">
      <c r="A2053" t="s">
        <v>274</v>
      </c>
      <c r="B2053">
        <v>76.751620842275983</v>
      </c>
      <c r="C2053" t="s">
        <v>33</v>
      </c>
      <c r="D2053" t="s">
        <v>27</v>
      </c>
      <c r="E2053" t="s">
        <v>15</v>
      </c>
      <c r="F2053" t="s">
        <v>28</v>
      </c>
      <c r="G2053" t="s">
        <v>500</v>
      </c>
      <c r="H2053" t="s">
        <v>275</v>
      </c>
    </row>
    <row r="2054" spans="1:8" x14ac:dyDescent="0.2">
      <c r="A2054" t="s">
        <v>287</v>
      </c>
      <c r="B2054">
        <v>8.9413043478260867</v>
      </c>
      <c r="C2054" t="s">
        <v>33</v>
      </c>
      <c r="D2054" t="s">
        <v>27</v>
      </c>
      <c r="E2054" t="s">
        <v>15</v>
      </c>
      <c r="F2054" t="s">
        <v>28</v>
      </c>
      <c r="G2054" t="s">
        <v>288</v>
      </c>
      <c r="H2054" t="s">
        <v>34</v>
      </c>
    </row>
    <row r="2055" spans="1:8" x14ac:dyDescent="0.2">
      <c r="A2055" t="s">
        <v>289</v>
      </c>
      <c r="B2055">
        <v>3.973913043478261</v>
      </c>
      <c r="C2055" t="s">
        <v>33</v>
      </c>
      <c r="D2055" t="s">
        <v>27</v>
      </c>
      <c r="E2055" t="s">
        <v>15</v>
      </c>
      <c r="F2055" t="s">
        <v>28</v>
      </c>
      <c r="G2055" t="s">
        <v>290</v>
      </c>
      <c r="H2055" t="s">
        <v>34</v>
      </c>
    </row>
    <row r="2056" spans="1:8" x14ac:dyDescent="0.2">
      <c r="A2056" t="s">
        <v>280</v>
      </c>
      <c r="B2056">
        <v>-96.577840320835918</v>
      </c>
      <c r="C2056" t="s">
        <v>33</v>
      </c>
      <c r="D2056" t="s">
        <v>27</v>
      </c>
      <c r="E2056" t="s">
        <v>15</v>
      </c>
      <c r="F2056" t="s">
        <v>28</v>
      </c>
      <c r="G2056" t="s">
        <v>281</v>
      </c>
      <c r="H2056" t="s">
        <v>282</v>
      </c>
    </row>
    <row r="2057" spans="1:8" x14ac:dyDescent="0.2">
      <c r="A2057" t="s">
        <v>276</v>
      </c>
      <c r="B2057">
        <v>-1006.2</v>
      </c>
      <c r="C2057" t="s">
        <v>33</v>
      </c>
      <c r="D2057" t="s">
        <v>27</v>
      </c>
      <c r="E2057" t="s">
        <v>15</v>
      </c>
      <c r="F2057" t="s">
        <v>28</v>
      </c>
      <c r="G2057" t="s">
        <v>277</v>
      </c>
      <c r="H2057" t="s">
        <v>25</v>
      </c>
    </row>
    <row r="2058" spans="1:8" x14ac:dyDescent="0.2">
      <c r="A2058" t="s">
        <v>501</v>
      </c>
      <c r="B2058">
        <v>-76.751620842275983</v>
      </c>
      <c r="C2058" t="s">
        <v>33</v>
      </c>
      <c r="D2058" t="s">
        <v>27</v>
      </c>
      <c r="E2058" t="s">
        <v>15</v>
      </c>
      <c r="F2058" t="s">
        <v>28</v>
      </c>
      <c r="G2058" t="s">
        <v>502</v>
      </c>
      <c r="H2058" t="s">
        <v>25</v>
      </c>
    </row>
    <row r="2059" spans="1:8" x14ac:dyDescent="0.2">
      <c r="A2059" t="s">
        <v>56</v>
      </c>
      <c r="B2059">
        <v>864</v>
      </c>
      <c r="C2059" t="s">
        <v>63</v>
      </c>
      <c r="D2059" t="s">
        <v>39</v>
      </c>
      <c r="E2059" t="s">
        <v>15</v>
      </c>
      <c r="F2059" t="s">
        <v>28</v>
      </c>
      <c r="G2059" t="s">
        <v>58</v>
      </c>
      <c r="H2059" t="s">
        <v>34</v>
      </c>
    </row>
    <row r="2060" spans="1:8" x14ac:dyDescent="0.2">
      <c r="A2060" t="s">
        <v>490</v>
      </c>
      <c r="B2060">
        <v>1</v>
      </c>
      <c r="C2060" t="s">
        <v>26</v>
      </c>
      <c r="D2060" t="s">
        <v>10</v>
      </c>
      <c r="E2060" t="s">
        <v>15</v>
      </c>
      <c r="F2060" t="s">
        <v>24</v>
      </c>
      <c r="G2060" t="s">
        <v>88</v>
      </c>
      <c r="H2060" t="s">
        <v>25</v>
      </c>
    </row>
    <row r="2063" spans="1:8" ht="16" x14ac:dyDescent="0.2">
      <c r="A2063" s="1" t="s">
        <v>4</v>
      </c>
      <c r="B2063" s="1" t="s">
        <v>367</v>
      </c>
    </row>
    <row r="2064" spans="1:8" x14ac:dyDescent="0.2">
      <c r="A2064" t="s">
        <v>5</v>
      </c>
      <c r="B2064" t="s">
        <v>26</v>
      </c>
    </row>
    <row r="2065" spans="1:8" x14ac:dyDescent="0.2">
      <c r="A2065" t="s">
        <v>6</v>
      </c>
      <c r="B2065">
        <v>1</v>
      </c>
    </row>
    <row r="2066" spans="1:8" x14ac:dyDescent="0.2">
      <c r="A2066" t="s">
        <v>7</v>
      </c>
      <c r="B2066" t="s">
        <v>71</v>
      </c>
    </row>
    <row r="2067" spans="1:8" x14ac:dyDescent="0.2">
      <c r="A2067" t="s">
        <v>8</v>
      </c>
      <c r="B2067" t="s">
        <v>9</v>
      </c>
    </row>
    <row r="2068" spans="1:8" x14ac:dyDescent="0.2">
      <c r="A2068" t="s">
        <v>10</v>
      </c>
      <c r="B2068" t="s">
        <v>10</v>
      </c>
    </row>
    <row r="2069" spans="1:8" x14ac:dyDescent="0.2">
      <c r="A2069" t="s">
        <v>11</v>
      </c>
      <c r="B2069" t="s">
        <v>12</v>
      </c>
    </row>
    <row r="2070" spans="1:8" x14ac:dyDescent="0.2">
      <c r="A2070" t="s">
        <v>13</v>
      </c>
      <c r="B2070" t="s">
        <v>291</v>
      </c>
    </row>
    <row r="2071" spans="1:8" x14ac:dyDescent="0.2">
      <c r="A2071" t="s">
        <v>14</v>
      </c>
      <c r="B2071" t="s">
        <v>271</v>
      </c>
    </row>
    <row r="2072" spans="1:8" x14ac:dyDescent="0.2">
      <c r="A2072" t="s">
        <v>16</v>
      </c>
      <c r="B2072" t="s">
        <v>15</v>
      </c>
    </row>
    <row r="2073" spans="1:8" x14ac:dyDescent="0.2">
      <c r="A2073" t="s">
        <v>17</v>
      </c>
      <c r="B2073" t="s">
        <v>141</v>
      </c>
    </row>
    <row r="2074" spans="1:8" ht="16" x14ac:dyDescent="0.2">
      <c r="A2074" s="1" t="s">
        <v>18</v>
      </c>
    </row>
    <row r="2075" spans="1:8" x14ac:dyDescent="0.2">
      <c r="A2075" t="s">
        <v>19</v>
      </c>
      <c r="B2075" t="s">
        <v>20</v>
      </c>
      <c r="C2075" t="s">
        <v>5</v>
      </c>
      <c r="D2075" t="s">
        <v>10</v>
      </c>
      <c r="E2075" t="s">
        <v>22</v>
      </c>
      <c r="F2075" t="s">
        <v>8</v>
      </c>
      <c r="G2075" t="s">
        <v>7</v>
      </c>
      <c r="H2075" t="s">
        <v>23</v>
      </c>
    </row>
    <row r="2076" spans="1:8" x14ac:dyDescent="0.2">
      <c r="A2076" t="s">
        <v>610</v>
      </c>
      <c r="B2076">
        <f>12.43</f>
        <v>12.43</v>
      </c>
      <c r="C2076" t="s">
        <v>33</v>
      </c>
      <c r="D2076" t="s">
        <v>39</v>
      </c>
      <c r="F2076" t="s">
        <v>28</v>
      </c>
      <c r="G2076" t="s">
        <v>611</v>
      </c>
      <c r="H2076" t="s">
        <v>34</v>
      </c>
    </row>
    <row r="2077" spans="1:8" x14ac:dyDescent="0.2">
      <c r="A2077" t="s">
        <v>61</v>
      </c>
      <c r="B2077">
        <v>127.0025441576087</v>
      </c>
      <c r="C2077" t="s">
        <v>33</v>
      </c>
      <c r="D2077" t="s">
        <v>27</v>
      </c>
      <c r="E2077" t="s">
        <v>15</v>
      </c>
      <c r="F2077" t="s">
        <v>28</v>
      </c>
      <c r="G2077" t="s">
        <v>61</v>
      </c>
      <c r="H2077" t="s">
        <v>62</v>
      </c>
    </row>
    <row r="2078" spans="1:8" x14ac:dyDescent="0.2">
      <c r="A2078" t="s">
        <v>278</v>
      </c>
      <c r="B2078">
        <v>32.516680653045441</v>
      </c>
      <c r="C2078" t="s">
        <v>33</v>
      </c>
      <c r="D2078" t="s">
        <v>27</v>
      </c>
      <c r="E2078" t="s">
        <v>15</v>
      </c>
      <c r="F2078" t="s">
        <v>28</v>
      </c>
      <c r="G2078" t="s">
        <v>279</v>
      </c>
      <c r="H2078" t="s">
        <v>275</v>
      </c>
    </row>
    <row r="2079" spans="1:8" x14ac:dyDescent="0.2">
      <c r="A2079" t="s">
        <v>272</v>
      </c>
      <c r="B2079">
        <v>1229.9193749999999</v>
      </c>
      <c r="C2079" t="s">
        <v>33</v>
      </c>
      <c r="D2079" t="s">
        <v>27</v>
      </c>
      <c r="E2079" t="s">
        <v>15</v>
      </c>
      <c r="F2079" t="s">
        <v>28</v>
      </c>
      <c r="G2079" t="s">
        <v>273</v>
      </c>
      <c r="H2079" t="s">
        <v>62</v>
      </c>
    </row>
    <row r="2080" spans="1:8" x14ac:dyDescent="0.2">
      <c r="A2080" t="s">
        <v>274</v>
      </c>
      <c r="B2080">
        <v>223.8832403122758</v>
      </c>
      <c r="C2080" t="s">
        <v>33</v>
      </c>
      <c r="D2080" t="s">
        <v>27</v>
      </c>
      <c r="E2080" t="s">
        <v>15</v>
      </c>
      <c r="F2080" t="s">
        <v>28</v>
      </c>
      <c r="G2080" t="s">
        <v>500</v>
      </c>
      <c r="H2080" t="s">
        <v>275</v>
      </c>
    </row>
    <row r="2081" spans="1:8" x14ac:dyDescent="0.2">
      <c r="A2081" t="s">
        <v>287</v>
      </c>
      <c r="B2081">
        <v>8.9706521739130434</v>
      </c>
      <c r="C2081" t="s">
        <v>33</v>
      </c>
      <c r="D2081" t="s">
        <v>27</v>
      </c>
      <c r="E2081" t="s">
        <v>15</v>
      </c>
      <c r="F2081" t="s">
        <v>28</v>
      </c>
      <c r="G2081" t="s">
        <v>288</v>
      </c>
      <c r="H2081" t="s">
        <v>34</v>
      </c>
    </row>
    <row r="2082" spans="1:8" x14ac:dyDescent="0.2">
      <c r="A2082" t="s">
        <v>289</v>
      </c>
      <c r="B2082">
        <v>3.9869565217391298</v>
      </c>
      <c r="C2082" t="s">
        <v>33</v>
      </c>
      <c r="D2082" t="s">
        <v>27</v>
      </c>
      <c r="E2082" t="s">
        <v>15</v>
      </c>
      <c r="F2082" t="s">
        <v>28</v>
      </c>
      <c r="G2082" t="s">
        <v>290</v>
      </c>
      <c r="H2082" t="s">
        <v>34</v>
      </c>
    </row>
    <row r="2083" spans="1:8" x14ac:dyDescent="0.2">
      <c r="A2083" t="s">
        <v>280</v>
      </c>
      <c r="B2083">
        <v>-45.47428934869761</v>
      </c>
      <c r="C2083" t="s">
        <v>33</v>
      </c>
      <c r="D2083" t="s">
        <v>27</v>
      </c>
      <c r="E2083" t="s">
        <v>15</v>
      </c>
      <c r="F2083" t="s">
        <v>28</v>
      </c>
      <c r="G2083" t="s">
        <v>281</v>
      </c>
      <c r="H2083" t="s">
        <v>282</v>
      </c>
    </row>
    <row r="2084" spans="1:8" x14ac:dyDescent="0.2">
      <c r="A2084" t="s">
        <v>60</v>
      </c>
      <c r="B2084">
        <v>33.124999999999993</v>
      </c>
      <c r="C2084" t="s">
        <v>26</v>
      </c>
      <c r="D2084" t="s">
        <v>27</v>
      </c>
      <c r="E2084" t="s">
        <v>15</v>
      </c>
      <c r="F2084" t="s">
        <v>28</v>
      </c>
      <c r="G2084" t="s">
        <v>54</v>
      </c>
      <c r="H2084" t="s">
        <v>34</v>
      </c>
    </row>
    <row r="2085" spans="1:8" x14ac:dyDescent="0.2">
      <c r="A2085" t="s">
        <v>276</v>
      </c>
      <c r="B2085">
        <v>-1136.0418308423909</v>
      </c>
      <c r="C2085" t="s">
        <v>33</v>
      </c>
      <c r="D2085" t="s">
        <v>27</v>
      </c>
      <c r="E2085" t="s">
        <v>15</v>
      </c>
      <c r="F2085" t="s">
        <v>28</v>
      </c>
      <c r="G2085" t="s">
        <v>277</v>
      </c>
      <c r="H2085" t="s">
        <v>25</v>
      </c>
    </row>
    <row r="2086" spans="1:8" x14ac:dyDescent="0.2">
      <c r="A2086" t="s">
        <v>501</v>
      </c>
      <c r="B2086">
        <v>-223.8832403122758</v>
      </c>
      <c r="C2086" t="s">
        <v>33</v>
      </c>
      <c r="D2086" t="s">
        <v>27</v>
      </c>
      <c r="E2086" t="s">
        <v>15</v>
      </c>
      <c r="F2086" t="s">
        <v>28</v>
      </c>
      <c r="G2086" t="s">
        <v>502</v>
      </c>
      <c r="H2086" t="s">
        <v>25</v>
      </c>
    </row>
    <row r="2087" spans="1:8" x14ac:dyDescent="0.2">
      <c r="A2087" t="s">
        <v>56</v>
      </c>
      <c r="B2087">
        <v>74.623239162958797</v>
      </c>
      <c r="C2087" t="s">
        <v>63</v>
      </c>
      <c r="D2087" t="s">
        <v>39</v>
      </c>
      <c r="E2087" t="s">
        <v>15</v>
      </c>
      <c r="F2087" t="s">
        <v>28</v>
      </c>
      <c r="G2087" t="s">
        <v>58</v>
      </c>
      <c r="H2087" t="s">
        <v>34</v>
      </c>
    </row>
    <row r="2088" spans="1:8" x14ac:dyDescent="0.2">
      <c r="A2088" t="s">
        <v>367</v>
      </c>
      <c r="B2088">
        <v>1</v>
      </c>
      <c r="C2088" t="s">
        <v>26</v>
      </c>
      <c r="D2088" t="s">
        <v>10</v>
      </c>
      <c r="E2088" t="s">
        <v>15</v>
      </c>
      <c r="F2088" t="s">
        <v>24</v>
      </c>
      <c r="G2088" t="s">
        <v>71</v>
      </c>
      <c r="H2088" t="s">
        <v>25</v>
      </c>
    </row>
    <row r="2090" spans="1:8" ht="16" x14ac:dyDescent="0.2">
      <c r="A2090" s="1" t="s">
        <v>4</v>
      </c>
      <c r="B2090" s="1" t="s">
        <v>311</v>
      </c>
    </row>
    <row r="2091" spans="1:8" x14ac:dyDescent="0.2">
      <c r="A2091" t="s">
        <v>5</v>
      </c>
      <c r="B2091" t="s">
        <v>26</v>
      </c>
    </row>
    <row r="2092" spans="1:8" x14ac:dyDescent="0.2">
      <c r="A2092" t="s">
        <v>6</v>
      </c>
      <c r="B2092">
        <v>1</v>
      </c>
    </row>
    <row r="2093" spans="1:8" x14ac:dyDescent="0.2">
      <c r="A2093" t="s">
        <v>7</v>
      </c>
      <c r="B2093" t="s">
        <v>73</v>
      </c>
    </row>
    <row r="2094" spans="1:8" x14ac:dyDescent="0.2">
      <c r="A2094" t="s">
        <v>8</v>
      </c>
      <c r="B2094" t="s">
        <v>9</v>
      </c>
    </row>
    <row r="2095" spans="1:8" x14ac:dyDescent="0.2">
      <c r="A2095" t="s">
        <v>10</v>
      </c>
      <c r="B2095" t="s">
        <v>10</v>
      </c>
    </row>
    <row r="2096" spans="1:8" x14ac:dyDescent="0.2">
      <c r="A2096" t="s">
        <v>11</v>
      </c>
      <c r="B2096" t="s">
        <v>12</v>
      </c>
    </row>
    <row r="2097" spans="1:8" x14ac:dyDescent="0.2">
      <c r="A2097" t="s">
        <v>13</v>
      </c>
      <c r="B2097" t="s">
        <v>291</v>
      </c>
    </row>
    <row r="2098" spans="1:8" x14ac:dyDescent="0.2">
      <c r="A2098" t="s">
        <v>14</v>
      </c>
      <c r="B2098" t="s">
        <v>271</v>
      </c>
    </row>
    <row r="2099" spans="1:8" x14ac:dyDescent="0.2">
      <c r="A2099" t="s">
        <v>16</v>
      </c>
      <c r="B2099" t="s">
        <v>15</v>
      </c>
    </row>
    <row r="2100" spans="1:8" x14ac:dyDescent="0.2">
      <c r="A2100" t="s">
        <v>17</v>
      </c>
      <c r="B2100" t="s">
        <v>142</v>
      </c>
    </row>
    <row r="2101" spans="1:8" ht="16" x14ac:dyDescent="0.2">
      <c r="A2101" s="1" t="s">
        <v>18</v>
      </c>
    </row>
    <row r="2102" spans="1:8" x14ac:dyDescent="0.2">
      <c r="A2102" t="s">
        <v>19</v>
      </c>
      <c r="B2102" t="s">
        <v>20</v>
      </c>
      <c r="C2102" t="s">
        <v>5</v>
      </c>
      <c r="D2102" t="s">
        <v>10</v>
      </c>
      <c r="E2102" t="s">
        <v>22</v>
      </c>
      <c r="F2102" t="s">
        <v>8</v>
      </c>
      <c r="G2102" t="s">
        <v>7</v>
      </c>
      <c r="H2102" t="s">
        <v>23</v>
      </c>
    </row>
    <row r="2103" spans="1:8" x14ac:dyDescent="0.2">
      <c r="A2103" t="s">
        <v>610</v>
      </c>
      <c r="B2103">
        <f>11.95</f>
        <v>11.95</v>
      </c>
      <c r="C2103" t="s">
        <v>33</v>
      </c>
      <c r="D2103" t="s">
        <v>39</v>
      </c>
      <c r="F2103" t="s">
        <v>28</v>
      </c>
      <c r="G2103" t="s">
        <v>611</v>
      </c>
      <c r="H2103" t="s">
        <v>34</v>
      </c>
    </row>
    <row r="2104" spans="1:8" x14ac:dyDescent="0.2">
      <c r="A2104" t="s">
        <v>61</v>
      </c>
      <c r="B2104">
        <v>131.02173913043481</v>
      </c>
      <c r="C2104" t="s">
        <v>33</v>
      </c>
      <c r="D2104" t="s">
        <v>27</v>
      </c>
      <c r="E2104" t="s">
        <v>15</v>
      </c>
      <c r="F2104" t="s">
        <v>28</v>
      </c>
      <c r="G2104" t="s">
        <v>61</v>
      </c>
      <c r="H2104" t="s">
        <v>62</v>
      </c>
    </row>
    <row r="2105" spans="1:8" x14ac:dyDescent="0.2">
      <c r="A2105" t="s">
        <v>278</v>
      </c>
      <c r="B2105">
        <v>32.080390514322467</v>
      </c>
      <c r="C2105" t="s">
        <v>33</v>
      </c>
      <c r="D2105" t="s">
        <v>27</v>
      </c>
      <c r="E2105" t="s">
        <v>15</v>
      </c>
      <c r="F2105" t="s">
        <v>28</v>
      </c>
      <c r="G2105" t="s">
        <v>279</v>
      </c>
      <c r="H2105" t="s">
        <v>275</v>
      </c>
    </row>
    <row r="2106" spans="1:8" x14ac:dyDescent="0.2">
      <c r="A2106" t="s">
        <v>272</v>
      </c>
      <c r="B2106">
        <v>1230</v>
      </c>
      <c r="C2106" t="s">
        <v>33</v>
      </c>
      <c r="D2106" t="s">
        <v>27</v>
      </c>
      <c r="E2106" t="s">
        <v>15</v>
      </c>
      <c r="F2106" t="s">
        <v>28</v>
      </c>
      <c r="G2106" t="s">
        <v>273</v>
      </c>
      <c r="H2106" t="s">
        <v>62</v>
      </c>
    </row>
    <row r="2107" spans="1:8" x14ac:dyDescent="0.2">
      <c r="A2107" t="s">
        <v>274</v>
      </c>
      <c r="B2107">
        <v>221.38099384502249</v>
      </c>
      <c r="C2107" t="s">
        <v>33</v>
      </c>
      <c r="D2107" t="s">
        <v>27</v>
      </c>
      <c r="E2107" t="s">
        <v>15</v>
      </c>
      <c r="F2107" t="s">
        <v>28</v>
      </c>
      <c r="G2107" t="s">
        <v>500</v>
      </c>
      <c r="H2107" t="s">
        <v>275</v>
      </c>
    </row>
    <row r="2108" spans="1:8" x14ac:dyDescent="0.2">
      <c r="A2108" t="s">
        <v>287</v>
      </c>
      <c r="B2108">
        <v>8.9413043478260867</v>
      </c>
      <c r="C2108" t="s">
        <v>33</v>
      </c>
      <c r="D2108" t="s">
        <v>27</v>
      </c>
      <c r="E2108" t="s">
        <v>15</v>
      </c>
      <c r="F2108" t="s">
        <v>28</v>
      </c>
      <c r="G2108" t="s">
        <v>288</v>
      </c>
      <c r="H2108" t="s">
        <v>34</v>
      </c>
    </row>
    <row r="2109" spans="1:8" x14ac:dyDescent="0.2">
      <c r="A2109" t="s">
        <v>289</v>
      </c>
      <c r="B2109">
        <v>3.973913043478261</v>
      </c>
      <c r="C2109" t="s">
        <v>33</v>
      </c>
      <c r="D2109" t="s">
        <v>27</v>
      </c>
      <c r="E2109" t="s">
        <v>15</v>
      </c>
      <c r="F2109" t="s">
        <v>28</v>
      </c>
      <c r="G2109" t="s">
        <v>290</v>
      </c>
      <c r="H2109" t="s">
        <v>34</v>
      </c>
    </row>
    <row r="2110" spans="1:8" x14ac:dyDescent="0.2">
      <c r="A2110" t="s">
        <v>280</v>
      </c>
      <c r="B2110">
        <v>-44.995607905626819</v>
      </c>
      <c r="C2110" t="s">
        <v>33</v>
      </c>
      <c r="D2110" t="s">
        <v>27</v>
      </c>
      <c r="E2110" t="s">
        <v>15</v>
      </c>
      <c r="F2110" t="s">
        <v>28</v>
      </c>
      <c r="G2110" t="s">
        <v>281</v>
      </c>
      <c r="H2110" t="s">
        <v>282</v>
      </c>
    </row>
    <row r="2111" spans="1:8" x14ac:dyDescent="0.2">
      <c r="A2111" t="s">
        <v>60</v>
      </c>
      <c r="B2111">
        <v>30.916666666666661</v>
      </c>
      <c r="C2111" t="s">
        <v>26</v>
      </c>
      <c r="D2111" t="s">
        <v>27</v>
      </c>
      <c r="E2111" t="s">
        <v>15</v>
      </c>
      <c r="F2111" t="s">
        <v>28</v>
      </c>
      <c r="G2111" t="s">
        <v>54</v>
      </c>
      <c r="H2111" t="s">
        <v>34</v>
      </c>
    </row>
    <row r="2112" spans="1:8" x14ac:dyDescent="0.2">
      <c r="A2112" t="s">
        <v>276</v>
      </c>
      <c r="B2112">
        <v>-1129.894927536232</v>
      </c>
      <c r="C2112" t="s">
        <v>33</v>
      </c>
      <c r="D2112" t="s">
        <v>27</v>
      </c>
      <c r="E2112" t="s">
        <v>15</v>
      </c>
      <c r="F2112" t="s">
        <v>28</v>
      </c>
      <c r="G2112" t="s">
        <v>277</v>
      </c>
      <c r="H2112" t="s">
        <v>25</v>
      </c>
    </row>
    <row r="2113" spans="1:8" x14ac:dyDescent="0.2">
      <c r="A2113" t="s">
        <v>501</v>
      </c>
      <c r="B2113">
        <v>-221.38099384502249</v>
      </c>
      <c r="C2113" t="s">
        <v>33</v>
      </c>
      <c r="D2113" t="s">
        <v>27</v>
      </c>
      <c r="E2113" t="s">
        <v>15</v>
      </c>
      <c r="F2113" t="s">
        <v>28</v>
      </c>
      <c r="G2113" t="s">
        <v>502</v>
      </c>
      <c r="H2113" t="s">
        <v>25</v>
      </c>
    </row>
    <row r="2114" spans="1:8" x14ac:dyDescent="0.2">
      <c r="A2114" t="s">
        <v>56</v>
      </c>
      <c r="B2114">
        <v>47.812078666027283</v>
      </c>
      <c r="C2114" t="s">
        <v>63</v>
      </c>
      <c r="D2114" t="s">
        <v>39</v>
      </c>
      <c r="E2114" t="s">
        <v>15</v>
      </c>
      <c r="F2114" t="s">
        <v>28</v>
      </c>
      <c r="G2114" t="s">
        <v>58</v>
      </c>
      <c r="H2114" t="s">
        <v>34</v>
      </c>
    </row>
    <row r="2115" spans="1:8" x14ac:dyDescent="0.2">
      <c r="A2115" t="s">
        <v>311</v>
      </c>
      <c r="B2115">
        <v>1</v>
      </c>
      <c r="C2115" t="s">
        <v>26</v>
      </c>
      <c r="D2115" t="s">
        <v>10</v>
      </c>
      <c r="E2115" t="s">
        <v>15</v>
      </c>
      <c r="F2115" t="s">
        <v>24</v>
      </c>
      <c r="G2115" t="s">
        <v>73</v>
      </c>
      <c r="H2115" t="s">
        <v>25</v>
      </c>
    </row>
    <row r="2118" spans="1:8" ht="16" x14ac:dyDescent="0.2">
      <c r="A2118" s="1" t="s">
        <v>4</v>
      </c>
      <c r="B2118" s="1" t="s">
        <v>368</v>
      </c>
    </row>
    <row r="2119" spans="1:8" x14ac:dyDescent="0.2">
      <c r="A2119" t="s">
        <v>5</v>
      </c>
      <c r="B2119" t="s">
        <v>26</v>
      </c>
    </row>
    <row r="2120" spans="1:8" x14ac:dyDescent="0.2">
      <c r="A2120" t="s">
        <v>6</v>
      </c>
      <c r="B2120">
        <v>1</v>
      </c>
    </row>
    <row r="2121" spans="1:8" x14ac:dyDescent="0.2">
      <c r="A2121" t="s">
        <v>7</v>
      </c>
      <c r="B2121" t="s">
        <v>71</v>
      </c>
    </row>
    <row r="2122" spans="1:8" x14ac:dyDescent="0.2">
      <c r="A2122" t="s">
        <v>8</v>
      </c>
      <c r="B2122" t="s">
        <v>9</v>
      </c>
    </row>
    <row r="2123" spans="1:8" x14ac:dyDescent="0.2">
      <c r="A2123" t="s">
        <v>10</v>
      </c>
      <c r="B2123" t="s">
        <v>10</v>
      </c>
    </row>
    <row r="2124" spans="1:8" x14ac:dyDescent="0.2">
      <c r="A2124" t="s">
        <v>11</v>
      </c>
      <c r="B2124" t="s">
        <v>12</v>
      </c>
    </row>
    <row r="2125" spans="1:8" x14ac:dyDescent="0.2">
      <c r="A2125" t="s">
        <v>13</v>
      </c>
      <c r="B2125" t="s">
        <v>291</v>
      </c>
    </row>
    <row r="2126" spans="1:8" x14ac:dyDescent="0.2">
      <c r="A2126" t="s">
        <v>14</v>
      </c>
      <c r="B2126" t="s">
        <v>271</v>
      </c>
    </row>
    <row r="2127" spans="1:8" x14ac:dyDescent="0.2">
      <c r="A2127" t="s">
        <v>16</v>
      </c>
      <c r="B2127" t="s">
        <v>15</v>
      </c>
    </row>
    <row r="2128" spans="1:8" x14ac:dyDescent="0.2">
      <c r="A2128" t="s">
        <v>17</v>
      </c>
      <c r="B2128" t="s">
        <v>143</v>
      </c>
    </row>
    <row r="2129" spans="1:8" ht="16" x14ac:dyDescent="0.2">
      <c r="A2129" s="1" t="s">
        <v>18</v>
      </c>
    </row>
    <row r="2130" spans="1:8" x14ac:dyDescent="0.2">
      <c r="A2130" t="s">
        <v>19</v>
      </c>
      <c r="B2130" t="s">
        <v>20</v>
      </c>
      <c r="C2130" t="s">
        <v>5</v>
      </c>
      <c r="D2130" t="s">
        <v>10</v>
      </c>
      <c r="E2130" t="s">
        <v>22</v>
      </c>
      <c r="F2130" t="s">
        <v>8</v>
      </c>
      <c r="G2130" t="s">
        <v>7</v>
      </c>
      <c r="H2130" t="s">
        <v>23</v>
      </c>
    </row>
    <row r="2131" spans="1:8" x14ac:dyDescent="0.2">
      <c r="A2131" t="s">
        <v>610</v>
      </c>
      <c r="B2131">
        <f>12.35</f>
        <v>12.35</v>
      </c>
      <c r="C2131" t="s">
        <v>33</v>
      </c>
      <c r="D2131" t="s">
        <v>39</v>
      </c>
      <c r="F2131" t="s">
        <v>28</v>
      </c>
      <c r="G2131" t="s">
        <v>611</v>
      </c>
      <c r="H2131" t="s">
        <v>34</v>
      </c>
    </row>
    <row r="2132" spans="1:8" x14ac:dyDescent="0.2">
      <c r="A2132" t="s">
        <v>61</v>
      </c>
      <c r="B2132">
        <v>125.8491847826087</v>
      </c>
      <c r="C2132" t="s">
        <v>33</v>
      </c>
      <c r="D2132" t="s">
        <v>27</v>
      </c>
      <c r="E2132" t="s">
        <v>15</v>
      </c>
      <c r="F2132" t="s">
        <v>28</v>
      </c>
      <c r="G2132" t="s">
        <v>61</v>
      </c>
      <c r="H2132" t="s">
        <v>62</v>
      </c>
    </row>
    <row r="2133" spans="1:8" x14ac:dyDescent="0.2">
      <c r="A2133" t="s">
        <v>278</v>
      </c>
      <c r="B2133">
        <v>32.422284140272538</v>
      </c>
      <c r="C2133" t="s">
        <v>33</v>
      </c>
      <c r="D2133" t="s">
        <v>27</v>
      </c>
      <c r="E2133" t="s">
        <v>15</v>
      </c>
      <c r="F2133" t="s">
        <v>28</v>
      </c>
      <c r="G2133" t="s">
        <v>279</v>
      </c>
      <c r="H2133" t="s">
        <v>275</v>
      </c>
    </row>
    <row r="2134" spans="1:8" x14ac:dyDescent="0.2">
      <c r="A2134" t="s">
        <v>272</v>
      </c>
      <c r="B2134">
        <v>1218.75</v>
      </c>
      <c r="C2134" t="s">
        <v>33</v>
      </c>
      <c r="D2134" t="s">
        <v>27</v>
      </c>
      <c r="E2134" t="s">
        <v>15</v>
      </c>
      <c r="F2134" t="s">
        <v>28</v>
      </c>
      <c r="G2134" t="s">
        <v>273</v>
      </c>
      <c r="H2134" t="s">
        <v>62</v>
      </c>
    </row>
    <row r="2135" spans="1:8" x14ac:dyDescent="0.2">
      <c r="A2135" t="s">
        <v>274</v>
      </c>
      <c r="B2135">
        <v>223.07573970844669</v>
      </c>
      <c r="C2135" t="s">
        <v>33</v>
      </c>
      <c r="D2135" t="s">
        <v>27</v>
      </c>
      <c r="E2135" t="s">
        <v>15</v>
      </c>
      <c r="F2135" t="s">
        <v>28</v>
      </c>
      <c r="G2135" t="s">
        <v>500</v>
      </c>
      <c r="H2135" t="s">
        <v>275</v>
      </c>
    </row>
    <row r="2136" spans="1:8" x14ac:dyDescent="0.2">
      <c r="A2136" t="s">
        <v>287</v>
      </c>
      <c r="B2136">
        <v>8.9706521739130434</v>
      </c>
      <c r="C2136" t="s">
        <v>33</v>
      </c>
      <c r="D2136" t="s">
        <v>27</v>
      </c>
      <c r="E2136" t="s">
        <v>15</v>
      </c>
      <c r="F2136" t="s">
        <v>28</v>
      </c>
      <c r="G2136" t="s">
        <v>288</v>
      </c>
      <c r="H2136" t="s">
        <v>34</v>
      </c>
    </row>
    <row r="2137" spans="1:8" x14ac:dyDescent="0.2">
      <c r="A2137" t="s">
        <v>289</v>
      </c>
      <c r="B2137">
        <v>3.9869565217391298</v>
      </c>
      <c r="C2137" t="s">
        <v>33</v>
      </c>
      <c r="D2137" t="s">
        <v>27</v>
      </c>
      <c r="E2137" t="s">
        <v>15</v>
      </c>
      <c r="F2137" t="s">
        <v>28</v>
      </c>
      <c r="G2137" t="s">
        <v>290</v>
      </c>
      <c r="H2137" t="s">
        <v>34</v>
      </c>
    </row>
    <row r="2138" spans="1:8" x14ac:dyDescent="0.2">
      <c r="A2138" t="s">
        <v>280</v>
      </c>
      <c r="B2138">
        <v>-45.379892835924707</v>
      </c>
      <c r="C2138" t="s">
        <v>33</v>
      </c>
      <c r="D2138" t="s">
        <v>27</v>
      </c>
      <c r="E2138" t="s">
        <v>15</v>
      </c>
      <c r="F2138" t="s">
        <v>28</v>
      </c>
      <c r="G2138" t="s">
        <v>281</v>
      </c>
      <c r="H2138" t="s">
        <v>282</v>
      </c>
    </row>
    <row r="2139" spans="1:8" x14ac:dyDescent="0.2">
      <c r="A2139" t="s">
        <v>60</v>
      </c>
      <c r="B2139">
        <v>33.4375</v>
      </c>
      <c r="C2139" t="s">
        <v>26</v>
      </c>
      <c r="D2139" t="s">
        <v>27</v>
      </c>
      <c r="E2139" t="s">
        <v>15</v>
      </c>
      <c r="F2139" t="s">
        <v>28</v>
      </c>
      <c r="G2139" t="s">
        <v>54</v>
      </c>
      <c r="H2139" t="s">
        <v>34</v>
      </c>
    </row>
    <row r="2140" spans="1:8" x14ac:dyDescent="0.2">
      <c r="A2140" t="s">
        <v>276</v>
      </c>
      <c r="B2140">
        <v>-1126.338315217391</v>
      </c>
      <c r="C2140" t="s">
        <v>33</v>
      </c>
      <c r="D2140" t="s">
        <v>27</v>
      </c>
      <c r="E2140" t="s">
        <v>15</v>
      </c>
      <c r="F2140" t="s">
        <v>28</v>
      </c>
      <c r="G2140" t="s">
        <v>277</v>
      </c>
      <c r="H2140" t="s">
        <v>25</v>
      </c>
    </row>
    <row r="2141" spans="1:8" x14ac:dyDescent="0.2">
      <c r="A2141" t="s">
        <v>501</v>
      </c>
      <c r="B2141">
        <v>-223.07573970844669</v>
      </c>
      <c r="C2141" t="s">
        <v>33</v>
      </c>
      <c r="D2141" t="s">
        <v>27</v>
      </c>
      <c r="E2141" t="s">
        <v>15</v>
      </c>
      <c r="F2141" t="s">
        <v>28</v>
      </c>
      <c r="G2141" t="s">
        <v>502</v>
      </c>
      <c r="H2141" t="s">
        <v>25</v>
      </c>
    </row>
    <row r="2142" spans="1:8" x14ac:dyDescent="0.2">
      <c r="A2142" t="s">
        <v>56</v>
      </c>
      <c r="B2142">
        <v>74.074745741373064</v>
      </c>
      <c r="C2142" t="s">
        <v>63</v>
      </c>
      <c r="D2142" t="s">
        <v>39</v>
      </c>
      <c r="E2142" t="s">
        <v>15</v>
      </c>
      <c r="F2142" t="s">
        <v>28</v>
      </c>
      <c r="G2142" t="s">
        <v>58</v>
      </c>
      <c r="H2142" t="s">
        <v>34</v>
      </c>
    </row>
    <row r="2143" spans="1:8" x14ac:dyDescent="0.2">
      <c r="A2143" t="s">
        <v>368</v>
      </c>
      <c r="B2143">
        <v>1</v>
      </c>
      <c r="C2143" t="s">
        <v>26</v>
      </c>
      <c r="D2143" t="s">
        <v>10</v>
      </c>
      <c r="E2143" t="s">
        <v>15</v>
      </c>
      <c r="F2143" t="s">
        <v>24</v>
      </c>
      <c r="G2143" t="s">
        <v>71</v>
      </c>
      <c r="H2143" t="s">
        <v>25</v>
      </c>
    </row>
    <row r="2145" spans="1:8" ht="16" x14ac:dyDescent="0.2">
      <c r="A2145" s="1" t="s">
        <v>4</v>
      </c>
      <c r="B2145" s="1" t="s">
        <v>312</v>
      </c>
    </row>
    <row r="2146" spans="1:8" x14ac:dyDescent="0.2">
      <c r="A2146" t="s">
        <v>5</v>
      </c>
      <c r="B2146" t="s">
        <v>26</v>
      </c>
    </row>
    <row r="2147" spans="1:8" x14ac:dyDescent="0.2">
      <c r="A2147" t="s">
        <v>6</v>
      </c>
      <c r="B2147">
        <v>1</v>
      </c>
    </row>
    <row r="2148" spans="1:8" x14ac:dyDescent="0.2">
      <c r="A2148" t="s">
        <v>7</v>
      </c>
      <c r="B2148" t="s">
        <v>73</v>
      </c>
    </row>
    <row r="2149" spans="1:8" x14ac:dyDescent="0.2">
      <c r="A2149" t="s">
        <v>8</v>
      </c>
      <c r="B2149" t="s">
        <v>9</v>
      </c>
    </row>
    <row r="2150" spans="1:8" x14ac:dyDescent="0.2">
      <c r="A2150" t="s">
        <v>10</v>
      </c>
      <c r="B2150" t="s">
        <v>10</v>
      </c>
    </row>
    <row r="2151" spans="1:8" x14ac:dyDescent="0.2">
      <c r="A2151" t="s">
        <v>11</v>
      </c>
      <c r="B2151" t="s">
        <v>12</v>
      </c>
    </row>
    <row r="2152" spans="1:8" x14ac:dyDescent="0.2">
      <c r="A2152" t="s">
        <v>13</v>
      </c>
      <c r="B2152" t="s">
        <v>291</v>
      </c>
    </row>
    <row r="2153" spans="1:8" x14ac:dyDescent="0.2">
      <c r="A2153" t="s">
        <v>14</v>
      </c>
      <c r="B2153" t="s">
        <v>271</v>
      </c>
    </row>
    <row r="2154" spans="1:8" x14ac:dyDescent="0.2">
      <c r="A2154" t="s">
        <v>16</v>
      </c>
      <c r="B2154" t="s">
        <v>15</v>
      </c>
    </row>
    <row r="2155" spans="1:8" x14ac:dyDescent="0.2">
      <c r="A2155" t="s">
        <v>17</v>
      </c>
      <c r="B2155" t="s">
        <v>144</v>
      </c>
    </row>
    <row r="2156" spans="1:8" ht="16" x14ac:dyDescent="0.2">
      <c r="A2156" s="1" t="s">
        <v>18</v>
      </c>
    </row>
    <row r="2157" spans="1:8" x14ac:dyDescent="0.2">
      <c r="A2157" t="s">
        <v>19</v>
      </c>
      <c r="B2157" t="s">
        <v>20</v>
      </c>
      <c r="C2157" t="s">
        <v>5</v>
      </c>
      <c r="D2157" t="s">
        <v>10</v>
      </c>
      <c r="E2157" t="s">
        <v>22</v>
      </c>
      <c r="F2157" t="s">
        <v>8</v>
      </c>
      <c r="G2157" t="s">
        <v>7</v>
      </c>
      <c r="H2157" t="s">
        <v>23</v>
      </c>
    </row>
    <row r="2158" spans="1:8" x14ac:dyDescent="0.2">
      <c r="A2158" t="s">
        <v>610</v>
      </c>
      <c r="B2158">
        <f>11.95</f>
        <v>11.95</v>
      </c>
      <c r="C2158" t="s">
        <v>33</v>
      </c>
      <c r="D2158" t="s">
        <v>39</v>
      </c>
      <c r="F2158" t="s">
        <v>28</v>
      </c>
      <c r="G2158" t="s">
        <v>611</v>
      </c>
      <c r="H2158" t="s">
        <v>34</v>
      </c>
    </row>
    <row r="2159" spans="1:8" x14ac:dyDescent="0.2">
      <c r="A2159" t="s">
        <v>61</v>
      </c>
      <c r="B2159">
        <v>131.02173913043481</v>
      </c>
      <c r="C2159" t="s">
        <v>33</v>
      </c>
      <c r="D2159" t="s">
        <v>27</v>
      </c>
      <c r="E2159" t="s">
        <v>15</v>
      </c>
      <c r="F2159" t="s">
        <v>28</v>
      </c>
      <c r="G2159" t="s">
        <v>61</v>
      </c>
      <c r="H2159" t="s">
        <v>62</v>
      </c>
    </row>
    <row r="2160" spans="1:8" x14ac:dyDescent="0.2">
      <c r="A2160" t="s">
        <v>278</v>
      </c>
      <c r="B2160">
        <v>32.08322471683524</v>
      </c>
      <c r="C2160" t="s">
        <v>33</v>
      </c>
      <c r="D2160" t="s">
        <v>27</v>
      </c>
      <c r="E2160" t="s">
        <v>15</v>
      </c>
      <c r="F2160" t="s">
        <v>28</v>
      </c>
      <c r="G2160" t="s">
        <v>279</v>
      </c>
      <c r="H2160" t="s">
        <v>275</v>
      </c>
    </row>
    <row r="2161" spans="1:8" x14ac:dyDescent="0.2">
      <c r="A2161" t="s">
        <v>272</v>
      </c>
      <c r="B2161">
        <v>1230</v>
      </c>
      <c r="C2161" t="s">
        <v>33</v>
      </c>
      <c r="D2161" t="s">
        <v>27</v>
      </c>
      <c r="E2161" t="s">
        <v>15</v>
      </c>
      <c r="F2161" t="s">
        <v>28</v>
      </c>
      <c r="G2161" t="s">
        <v>273</v>
      </c>
      <c r="H2161" t="s">
        <v>62</v>
      </c>
    </row>
    <row r="2162" spans="1:8" x14ac:dyDescent="0.2">
      <c r="A2162" t="s">
        <v>274</v>
      </c>
      <c r="B2162">
        <v>221.40510921162021</v>
      </c>
      <c r="C2162" t="s">
        <v>33</v>
      </c>
      <c r="D2162" t="s">
        <v>27</v>
      </c>
      <c r="E2162" t="s">
        <v>15</v>
      </c>
      <c r="F2162" t="s">
        <v>28</v>
      </c>
      <c r="G2162" t="s">
        <v>500</v>
      </c>
      <c r="H2162" t="s">
        <v>275</v>
      </c>
    </row>
    <row r="2163" spans="1:8" x14ac:dyDescent="0.2">
      <c r="A2163" t="s">
        <v>287</v>
      </c>
      <c r="B2163">
        <v>8.9413043478260867</v>
      </c>
      <c r="C2163" t="s">
        <v>33</v>
      </c>
      <c r="D2163" t="s">
        <v>27</v>
      </c>
      <c r="E2163" t="s">
        <v>15</v>
      </c>
      <c r="F2163" t="s">
        <v>28</v>
      </c>
      <c r="G2163" t="s">
        <v>288</v>
      </c>
      <c r="H2163" t="s">
        <v>34</v>
      </c>
    </row>
    <row r="2164" spans="1:8" x14ac:dyDescent="0.2">
      <c r="A2164" t="s">
        <v>289</v>
      </c>
      <c r="B2164">
        <v>3.973913043478261</v>
      </c>
      <c r="C2164" t="s">
        <v>33</v>
      </c>
      <c r="D2164" t="s">
        <v>27</v>
      </c>
      <c r="E2164" t="s">
        <v>15</v>
      </c>
      <c r="F2164" t="s">
        <v>28</v>
      </c>
      <c r="G2164" t="s">
        <v>290</v>
      </c>
      <c r="H2164" t="s">
        <v>34</v>
      </c>
    </row>
    <row r="2165" spans="1:8" x14ac:dyDescent="0.2">
      <c r="A2165" t="s">
        <v>280</v>
      </c>
      <c r="B2165">
        <v>-44.998442108139592</v>
      </c>
      <c r="C2165" t="s">
        <v>33</v>
      </c>
      <c r="D2165" t="s">
        <v>27</v>
      </c>
      <c r="E2165" t="s">
        <v>15</v>
      </c>
      <c r="F2165" t="s">
        <v>28</v>
      </c>
      <c r="G2165" t="s">
        <v>281</v>
      </c>
      <c r="H2165" t="s">
        <v>282</v>
      </c>
    </row>
    <row r="2166" spans="1:8" x14ac:dyDescent="0.2">
      <c r="A2166" t="s">
        <v>60</v>
      </c>
      <c r="B2166">
        <v>31.208333333333329</v>
      </c>
      <c r="C2166" t="s">
        <v>26</v>
      </c>
      <c r="D2166" t="s">
        <v>27</v>
      </c>
      <c r="E2166" t="s">
        <v>15</v>
      </c>
      <c r="F2166" t="s">
        <v>28</v>
      </c>
      <c r="G2166" t="s">
        <v>54</v>
      </c>
      <c r="H2166" t="s">
        <v>34</v>
      </c>
    </row>
    <row r="2167" spans="1:8" x14ac:dyDescent="0.2">
      <c r="A2167" t="s">
        <v>276</v>
      </c>
      <c r="B2167">
        <v>-1130.186594202899</v>
      </c>
      <c r="C2167" t="s">
        <v>33</v>
      </c>
      <c r="D2167" t="s">
        <v>27</v>
      </c>
      <c r="E2167" t="s">
        <v>15</v>
      </c>
      <c r="F2167" t="s">
        <v>28</v>
      </c>
      <c r="G2167" t="s">
        <v>277</v>
      </c>
      <c r="H2167" t="s">
        <v>25</v>
      </c>
    </row>
    <row r="2168" spans="1:8" x14ac:dyDescent="0.2">
      <c r="A2168" t="s">
        <v>501</v>
      </c>
      <c r="B2168">
        <v>-221.40510921162021</v>
      </c>
      <c r="C2168" t="s">
        <v>33</v>
      </c>
      <c r="D2168" t="s">
        <v>27</v>
      </c>
      <c r="E2168" t="s">
        <v>15</v>
      </c>
      <c r="F2168" t="s">
        <v>28</v>
      </c>
      <c r="G2168" t="s">
        <v>502</v>
      </c>
      <c r="H2168" t="s">
        <v>25</v>
      </c>
    </row>
    <row r="2169" spans="1:8" x14ac:dyDescent="0.2">
      <c r="A2169" t="s">
        <v>56</v>
      </c>
      <c r="B2169">
        <v>47.822721385667037</v>
      </c>
      <c r="C2169" t="s">
        <v>63</v>
      </c>
      <c r="D2169" t="s">
        <v>39</v>
      </c>
      <c r="E2169" t="s">
        <v>15</v>
      </c>
      <c r="F2169" t="s">
        <v>28</v>
      </c>
      <c r="G2169" t="s">
        <v>58</v>
      </c>
      <c r="H2169" t="s">
        <v>34</v>
      </c>
    </row>
    <row r="2170" spans="1:8" x14ac:dyDescent="0.2">
      <c r="A2170" t="s">
        <v>312</v>
      </c>
      <c r="B2170">
        <v>1</v>
      </c>
      <c r="C2170" t="s">
        <v>26</v>
      </c>
      <c r="D2170" t="s">
        <v>10</v>
      </c>
      <c r="E2170" t="s">
        <v>15</v>
      </c>
      <c r="F2170" t="s">
        <v>24</v>
      </c>
      <c r="G2170" t="s">
        <v>73</v>
      </c>
      <c r="H2170" t="s">
        <v>25</v>
      </c>
    </row>
    <row r="2173" spans="1:8" ht="16" x14ac:dyDescent="0.2">
      <c r="A2173" s="1" t="s">
        <v>4</v>
      </c>
      <c r="B2173" s="1" t="s">
        <v>461</v>
      </c>
    </row>
    <row r="2174" spans="1:8" x14ac:dyDescent="0.2">
      <c r="A2174" t="s">
        <v>5</v>
      </c>
      <c r="B2174" t="s">
        <v>26</v>
      </c>
    </row>
    <row r="2175" spans="1:8" x14ac:dyDescent="0.2">
      <c r="A2175" t="s">
        <v>6</v>
      </c>
      <c r="B2175">
        <v>1</v>
      </c>
    </row>
    <row r="2176" spans="1:8" x14ac:dyDescent="0.2">
      <c r="A2176" t="s">
        <v>7</v>
      </c>
      <c r="B2176" t="s">
        <v>65</v>
      </c>
    </row>
    <row r="2177" spans="1:8" x14ac:dyDescent="0.2">
      <c r="A2177" t="s">
        <v>8</v>
      </c>
      <c r="B2177" t="s">
        <v>9</v>
      </c>
    </row>
    <row r="2178" spans="1:8" x14ac:dyDescent="0.2">
      <c r="A2178" t="s">
        <v>10</v>
      </c>
      <c r="B2178" t="s">
        <v>10</v>
      </c>
    </row>
    <row r="2179" spans="1:8" x14ac:dyDescent="0.2">
      <c r="A2179" t="s">
        <v>11</v>
      </c>
      <c r="B2179" t="s">
        <v>12</v>
      </c>
    </row>
    <row r="2180" spans="1:8" x14ac:dyDescent="0.2">
      <c r="A2180" t="s">
        <v>13</v>
      </c>
      <c r="B2180" t="s">
        <v>291</v>
      </c>
    </row>
    <row r="2181" spans="1:8" x14ac:dyDescent="0.2">
      <c r="A2181" t="s">
        <v>14</v>
      </c>
      <c r="B2181" t="s">
        <v>271</v>
      </c>
    </row>
    <row r="2182" spans="1:8" x14ac:dyDescent="0.2">
      <c r="A2182" t="s">
        <v>16</v>
      </c>
      <c r="B2182" t="s">
        <v>15</v>
      </c>
    </row>
    <row r="2183" spans="1:8" x14ac:dyDescent="0.2">
      <c r="A2183" t="s">
        <v>17</v>
      </c>
      <c r="B2183" t="s">
        <v>145</v>
      </c>
    </row>
    <row r="2184" spans="1:8" ht="16" x14ac:dyDescent="0.2">
      <c r="A2184" s="1" t="s">
        <v>18</v>
      </c>
    </row>
    <row r="2185" spans="1:8" x14ac:dyDescent="0.2">
      <c r="A2185" t="s">
        <v>19</v>
      </c>
      <c r="B2185" t="s">
        <v>20</v>
      </c>
      <c r="C2185" t="s">
        <v>5</v>
      </c>
      <c r="D2185" t="s">
        <v>10</v>
      </c>
      <c r="E2185" t="s">
        <v>22</v>
      </c>
      <c r="F2185" t="s">
        <v>8</v>
      </c>
      <c r="G2185" t="s">
        <v>7</v>
      </c>
      <c r="H2185" t="s">
        <v>23</v>
      </c>
    </row>
    <row r="2186" spans="1:8" x14ac:dyDescent="0.2">
      <c r="A2186" t="s">
        <v>61</v>
      </c>
      <c r="B2186">
        <v>135</v>
      </c>
      <c r="C2186" t="s">
        <v>33</v>
      </c>
      <c r="D2186" t="s">
        <v>27</v>
      </c>
      <c r="E2186" t="s">
        <v>15</v>
      </c>
      <c r="F2186" t="s">
        <v>28</v>
      </c>
      <c r="G2186" t="s">
        <v>61</v>
      </c>
      <c r="H2186" t="s">
        <v>62</v>
      </c>
    </row>
    <row r="2187" spans="1:8" x14ac:dyDescent="0.2">
      <c r="A2187" t="s">
        <v>272</v>
      </c>
      <c r="B2187">
        <v>1350</v>
      </c>
      <c r="C2187" t="s">
        <v>33</v>
      </c>
      <c r="D2187" t="s">
        <v>27</v>
      </c>
      <c r="E2187" t="s">
        <v>15</v>
      </c>
      <c r="F2187" t="s">
        <v>28</v>
      </c>
      <c r="G2187" t="s">
        <v>273</v>
      </c>
      <c r="H2187" t="s">
        <v>62</v>
      </c>
    </row>
    <row r="2188" spans="1:8" x14ac:dyDescent="0.2">
      <c r="A2188" t="s">
        <v>274</v>
      </c>
      <c r="B2188">
        <v>277.42253333333332</v>
      </c>
      <c r="C2188" t="s">
        <v>33</v>
      </c>
      <c r="D2188" t="s">
        <v>27</v>
      </c>
      <c r="E2188" t="s">
        <v>15</v>
      </c>
      <c r="F2188" t="s">
        <v>28</v>
      </c>
      <c r="G2188" t="s">
        <v>500</v>
      </c>
      <c r="H2188" t="s">
        <v>275</v>
      </c>
    </row>
    <row r="2189" spans="1:8" x14ac:dyDescent="0.2">
      <c r="A2189" t="s">
        <v>60</v>
      </c>
      <c r="B2189">
        <v>61.833333333333329</v>
      </c>
      <c r="C2189" t="s">
        <v>26</v>
      </c>
      <c r="D2189" t="s">
        <v>27</v>
      </c>
      <c r="E2189" t="s">
        <v>15</v>
      </c>
      <c r="F2189" t="s">
        <v>28</v>
      </c>
      <c r="G2189" t="s">
        <v>54</v>
      </c>
      <c r="H2189" t="s">
        <v>34</v>
      </c>
    </row>
    <row r="2190" spans="1:8" x14ac:dyDescent="0.2">
      <c r="A2190" t="s">
        <v>276</v>
      </c>
      <c r="B2190">
        <v>-1276.833333333333</v>
      </c>
      <c r="C2190" t="s">
        <v>33</v>
      </c>
      <c r="D2190" t="s">
        <v>27</v>
      </c>
      <c r="E2190" t="s">
        <v>15</v>
      </c>
      <c r="F2190" t="s">
        <v>28</v>
      </c>
      <c r="G2190" t="s">
        <v>277</v>
      </c>
      <c r="H2190" t="s">
        <v>25</v>
      </c>
    </row>
    <row r="2191" spans="1:8" x14ac:dyDescent="0.2">
      <c r="A2191" t="s">
        <v>501</v>
      </c>
      <c r="B2191">
        <v>-277.42253333333332</v>
      </c>
      <c r="C2191" t="s">
        <v>33</v>
      </c>
      <c r="D2191" t="s">
        <v>27</v>
      </c>
      <c r="E2191" t="s">
        <v>15</v>
      </c>
      <c r="F2191" t="s">
        <v>28</v>
      </c>
      <c r="G2191" t="s">
        <v>502</v>
      </c>
      <c r="H2191" t="s">
        <v>25</v>
      </c>
    </row>
    <row r="2192" spans="1:8" x14ac:dyDescent="0.2">
      <c r="A2192" t="s">
        <v>461</v>
      </c>
      <c r="B2192">
        <v>1</v>
      </c>
      <c r="C2192" t="s">
        <v>26</v>
      </c>
      <c r="D2192" t="s">
        <v>10</v>
      </c>
      <c r="E2192" t="s">
        <v>15</v>
      </c>
      <c r="F2192" t="s">
        <v>24</v>
      </c>
      <c r="G2192" t="s">
        <v>65</v>
      </c>
      <c r="H2192" t="s">
        <v>25</v>
      </c>
    </row>
    <row r="2194" spans="1:8" ht="16" x14ac:dyDescent="0.2">
      <c r="A2194" s="1" t="s">
        <v>4</v>
      </c>
      <c r="B2194" s="1" t="s">
        <v>437</v>
      </c>
    </row>
    <row r="2195" spans="1:8" x14ac:dyDescent="0.2">
      <c r="A2195" t="s">
        <v>5</v>
      </c>
      <c r="B2195" t="s">
        <v>26</v>
      </c>
    </row>
    <row r="2196" spans="1:8" x14ac:dyDescent="0.2">
      <c r="A2196" t="s">
        <v>6</v>
      </c>
      <c r="B2196">
        <v>1</v>
      </c>
    </row>
    <row r="2197" spans="1:8" x14ac:dyDescent="0.2">
      <c r="A2197" t="s">
        <v>7</v>
      </c>
      <c r="B2197" t="s">
        <v>67</v>
      </c>
    </row>
    <row r="2198" spans="1:8" x14ac:dyDescent="0.2">
      <c r="A2198" t="s">
        <v>8</v>
      </c>
      <c r="B2198" t="s">
        <v>9</v>
      </c>
    </row>
    <row r="2199" spans="1:8" x14ac:dyDescent="0.2">
      <c r="A2199" t="s">
        <v>10</v>
      </c>
      <c r="B2199" t="s">
        <v>10</v>
      </c>
    </row>
    <row r="2200" spans="1:8" x14ac:dyDescent="0.2">
      <c r="A2200" t="s">
        <v>11</v>
      </c>
      <c r="B2200" t="s">
        <v>12</v>
      </c>
    </row>
    <row r="2201" spans="1:8" x14ac:dyDescent="0.2">
      <c r="A2201" t="s">
        <v>13</v>
      </c>
      <c r="B2201" t="s">
        <v>291</v>
      </c>
    </row>
    <row r="2202" spans="1:8" x14ac:dyDescent="0.2">
      <c r="A2202" t="s">
        <v>14</v>
      </c>
      <c r="B2202" t="s">
        <v>271</v>
      </c>
    </row>
    <row r="2203" spans="1:8" x14ac:dyDescent="0.2">
      <c r="A2203" t="s">
        <v>16</v>
      </c>
      <c r="B2203" t="s">
        <v>15</v>
      </c>
    </row>
    <row r="2204" spans="1:8" x14ac:dyDescent="0.2">
      <c r="A2204" t="s">
        <v>17</v>
      </c>
      <c r="B2204" t="s">
        <v>146</v>
      </c>
    </row>
    <row r="2205" spans="1:8" ht="16" x14ac:dyDescent="0.2">
      <c r="A2205" s="1" t="s">
        <v>18</v>
      </c>
    </row>
    <row r="2206" spans="1:8" x14ac:dyDescent="0.2">
      <c r="A2206" t="s">
        <v>19</v>
      </c>
      <c r="B2206" t="s">
        <v>20</v>
      </c>
      <c r="C2206" t="s">
        <v>5</v>
      </c>
      <c r="D2206" t="s">
        <v>10</v>
      </c>
      <c r="E2206" t="s">
        <v>22</v>
      </c>
      <c r="F2206" t="s">
        <v>8</v>
      </c>
      <c r="G2206" t="s">
        <v>7</v>
      </c>
      <c r="H2206" t="s">
        <v>23</v>
      </c>
    </row>
    <row r="2207" spans="1:8" x14ac:dyDescent="0.2">
      <c r="A2207" t="s">
        <v>61</v>
      </c>
      <c r="B2207">
        <v>135</v>
      </c>
      <c r="C2207" t="s">
        <v>33</v>
      </c>
      <c r="D2207" t="s">
        <v>27</v>
      </c>
      <c r="E2207" t="s">
        <v>15</v>
      </c>
      <c r="F2207" t="s">
        <v>28</v>
      </c>
      <c r="G2207" t="s">
        <v>61</v>
      </c>
      <c r="H2207" t="s">
        <v>62</v>
      </c>
    </row>
    <row r="2208" spans="1:8" x14ac:dyDescent="0.2">
      <c r="A2208" t="s">
        <v>272</v>
      </c>
      <c r="B2208">
        <v>1350</v>
      </c>
      <c r="C2208" t="s">
        <v>33</v>
      </c>
      <c r="D2208" t="s">
        <v>27</v>
      </c>
      <c r="E2208" t="s">
        <v>15</v>
      </c>
      <c r="F2208" t="s">
        <v>28</v>
      </c>
      <c r="G2208" t="s">
        <v>273</v>
      </c>
      <c r="H2208" t="s">
        <v>62</v>
      </c>
    </row>
    <row r="2209" spans="1:8" x14ac:dyDescent="0.2">
      <c r="A2209" t="s">
        <v>274</v>
      </c>
      <c r="B2209">
        <v>275.85317083333331</v>
      </c>
      <c r="C2209" t="s">
        <v>33</v>
      </c>
      <c r="D2209" t="s">
        <v>27</v>
      </c>
      <c r="E2209" t="s">
        <v>15</v>
      </c>
      <c r="F2209" t="s">
        <v>28</v>
      </c>
      <c r="G2209" t="s">
        <v>500</v>
      </c>
      <c r="H2209" t="s">
        <v>275</v>
      </c>
    </row>
    <row r="2210" spans="1:8" x14ac:dyDescent="0.2">
      <c r="A2210" t="s">
        <v>60</v>
      </c>
      <c r="B2210">
        <v>55.208333333333329</v>
      </c>
      <c r="C2210" t="s">
        <v>26</v>
      </c>
      <c r="D2210" t="s">
        <v>27</v>
      </c>
      <c r="E2210" t="s">
        <v>15</v>
      </c>
      <c r="F2210" t="s">
        <v>28</v>
      </c>
      <c r="G2210" t="s">
        <v>54</v>
      </c>
      <c r="H2210" t="s">
        <v>34</v>
      </c>
    </row>
    <row r="2211" spans="1:8" x14ac:dyDescent="0.2">
      <c r="A2211" t="s">
        <v>276</v>
      </c>
      <c r="B2211">
        <v>-1270.208333333333</v>
      </c>
      <c r="C2211" t="s">
        <v>33</v>
      </c>
      <c r="D2211" t="s">
        <v>27</v>
      </c>
      <c r="E2211" t="s">
        <v>15</v>
      </c>
      <c r="F2211" t="s">
        <v>28</v>
      </c>
      <c r="G2211" t="s">
        <v>277</v>
      </c>
      <c r="H2211" t="s">
        <v>25</v>
      </c>
    </row>
    <row r="2212" spans="1:8" x14ac:dyDescent="0.2">
      <c r="A2212" t="s">
        <v>501</v>
      </c>
      <c r="B2212">
        <v>-275.85317083333331</v>
      </c>
      <c r="C2212" t="s">
        <v>33</v>
      </c>
      <c r="D2212" t="s">
        <v>27</v>
      </c>
      <c r="E2212" t="s">
        <v>15</v>
      </c>
      <c r="F2212" t="s">
        <v>28</v>
      </c>
      <c r="G2212" t="s">
        <v>502</v>
      </c>
      <c r="H2212" t="s">
        <v>25</v>
      </c>
    </row>
    <row r="2213" spans="1:8" x14ac:dyDescent="0.2">
      <c r="A2213" t="s">
        <v>437</v>
      </c>
      <c r="B2213">
        <v>1</v>
      </c>
      <c r="C2213" t="s">
        <v>26</v>
      </c>
      <c r="D2213" t="s">
        <v>10</v>
      </c>
      <c r="E2213" t="s">
        <v>15</v>
      </c>
      <c r="F2213" t="s">
        <v>24</v>
      </c>
      <c r="G2213" t="s">
        <v>67</v>
      </c>
      <c r="H2213" t="s">
        <v>25</v>
      </c>
    </row>
    <row r="2215" spans="1:8" ht="16" x14ac:dyDescent="0.2">
      <c r="A2215" s="1" t="s">
        <v>4</v>
      </c>
      <c r="B2215" s="1" t="s">
        <v>413</v>
      </c>
    </row>
    <row r="2216" spans="1:8" x14ac:dyDescent="0.2">
      <c r="A2216" t="s">
        <v>5</v>
      </c>
      <c r="B2216" t="s">
        <v>26</v>
      </c>
    </row>
    <row r="2217" spans="1:8" x14ac:dyDescent="0.2">
      <c r="A2217" t="s">
        <v>6</v>
      </c>
      <c r="B2217">
        <v>1</v>
      </c>
    </row>
    <row r="2218" spans="1:8" x14ac:dyDescent="0.2">
      <c r="A2218" t="s">
        <v>7</v>
      </c>
      <c r="B2218" t="s">
        <v>69</v>
      </c>
    </row>
    <row r="2219" spans="1:8" x14ac:dyDescent="0.2">
      <c r="A2219" t="s">
        <v>8</v>
      </c>
      <c r="B2219" t="s">
        <v>9</v>
      </c>
    </row>
    <row r="2220" spans="1:8" x14ac:dyDescent="0.2">
      <c r="A2220" t="s">
        <v>10</v>
      </c>
      <c r="B2220" t="s">
        <v>10</v>
      </c>
    </row>
    <row r="2221" spans="1:8" x14ac:dyDescent="0.2">
      <c r="A2221" t="s">
        <v>11</v>
      </c>
      <c r="B2221" t="s">
        <v>12</v>
      </c>
    </row>
    <row r="2222" spans="1:8" x14ac:dyDescent="0.2">
      <c r="A2222" t="s">
        <v>13</v>
      </c>
      <c r="B2222" t="s">
        <v>291</v>
      </c>
    </row>
    <row r="2223" spans="1:8" x14ac:dyDescent="0.2">
      <c r="A2223" t="s">
        <v>14</v>
      </c>
      <c r="B2223" t="s">
        <v>271</v>
      </c>
    </row>
    <row r="2224" spans="1:8" x14ac:dyDescent="0.2">
      <c r="A2224" t="s">
        <v>16</v>
      </c>
      <c r="B2224" t="s">
        <v>15</v>
      </c>
    </row>
    <row r="2225" spans="1:8" x14ac:dyDescent="0.2">
      <c r="A2225" t="s">
        <v>17</v>
      </c>
      <c r="B2225" t="s">
        <v>147</v>
      </c>
    </row>
    <row r="2226" spans="1:8" ht="16" x14ac:dyDescent="0.2">
      <c r="A2226" s="1" t="s">
        <v>18</v>
      </c>
    </row>
    <row r="2227" spans="1:8" x14ac:dyDescent="0.2">
      <c r="A2227" t="s">
        <v>19</v>
      </c>
      <c r="B2227" t="s">
        <v>20</v>
      </c>
      <c r="C2227" t="s">
        <v>5</v>
      </c>
      <c r="D2227" t="s">
        <v>10</v>
      </c>
      <c r="E2227" t="s">
        <v>22</v>
      </c>
      <c r="F2227" t="s">
        <v>8</v>
      </c>
      <c r="G2227" t="s">
        <v>7</v>
      </c>
      <c r="H2227" t="s">
        <v>23</v>
      </c>
    </row>
    <row r="2228" spans="1:8" x14ac:dyDescent="0.2">
      <c r="A2228" t="s">
        <v>61</v>
      </c>
      <c r="B2228">
        <v>135</v>
      </c>
      <c r="C2228" t="s">
        <v>33</v>
      </c>
      <c r="D2228" t="s">
        <v>27</v>
      </c>
      <c r="E2228" t="s">
        <v>15</v>
      </c>
      <c r="F2228" t="s">
        <v>28</v>
      </c>
      <c r="G2228" t="s">
        <v>61</v>
      </c>
      <c r="H2228" t="s">
        <v>62</v>
      </c>
    </row>
    <row r="2229" spans="1:8" x14ac:dyDescent="0.2">
      <c r="A2229" t="s">
        <v>272</v>
      </c>
      <c r="B2229">
        <v>1350</v>
      </c>
      <c r="C2229" t="s">
        <v>33</v>
      </c>
      <c r="D2229" t="s">
        <v>27</v>
      </c>
      <c r="E2229" t="s">
        <v>15</v>
      </c>
      <c r="F2229" t="s">
        <v>28</v>
      </c>
      <c r="G2229" t="s">
        <v>273</v>
      </c>
      <c r="H2229" t="s">
        <v>62</v>
      </c>
    </row>
    <row r="2230" spans="1:8" x14ac:dyDescent="0.2">
      <c r="A2230" t="s">
        <v>274</v>
      </c>
      <c r="B2230">
        <v>274.2838083333333</v>
      </c>
      <c r="C2230" t="s">
        <v>33</v>
      </c>
      <c r="D2230" t="s">
        <v>27</v>
      </c>
      <c r="E2230" t="s">
        <v>15</v>
      </c>
      <c r="F2230" t="s">
        <v>28</v>
      </c>
      <c r="G2230" t="s">
        <v>500</v>
      </c>
      <c r="H2230" t="s">
        <v>275</v>
      </c>
    </row>
    <row r="2231" spans="1:8" x14ac:dyDescent="0.2">
      <c r="A2231" t="s">
        <v>60</v>
      </c>
      <c r="B2231">
        <v>48.583333333333329</v>
      </c>
      <c r="C2231" t="s">
        <v>26</v>
      </c>
      <c r="D2231" t="s">
        <v>27</v>
      </c>
      <c r="E2231" t="s">
        <v>15</v>
      </c>
      <c r="F2231" t="s">
        <v>28</v>
      </c>
      <c r="G2231" t="s">
        <v>54</v>
      </c>
      <c r="H2231" t="s">
        <v>34</v>
      </c>
    </row>
    <row r="2232" spans="1:8" x14ac:dyDescent="0.2">
      <c r="A2232" t="s">
        <v>276</v>
      </c>
      <c r="B2232">
        <v>-1263.583333333333</v>
      </c>
      <c r="C2232" t="s">
        <v>33</v>
      </c>
      <c r="D2232" t="s">
        <v>27</v>
      </c>
      <c r="E2232" t="s">
        <v>15</v>
      </c>
      <c r="F2232" t="s">
        <v>28</v>
      </c>
      <c r="G2232" t="s">
        <v>277</v>
      </c>
      <c r="H2232" t="s">
        <v>25</v>
      </c>
    </row>
    <row r="2233" spans="1:8" x14ac:dyDescent="0.2">
      <c r="A2233" t="s">
        <v>501</v>
      </c>
      <c r="B2233">
        <v>-274.2838083333333</v>
      </c>
      <c r="C2233" t="s">
        <v>33</v>
      </c>
      <c r="D2233" t="s">
        <v>27</v>
      </c>
      <c r="E2233" t="s">
        <v>15</v>
      </c>
      <c r="F2233" t="s">
        <v>28</v>
      </c>
      <c r="G2233" t="s">
        <v>502</v>
      </c>
      <c r="H2233" t="s">
        <v>25</v>
      </c>
    </row>
    <row r="2234" spans="1:8" x14ac:dyDescent="0.2">
      <c r="A2234" t="s">
        <v>413</v>
      </c>
      <c r="B2234">
        <v>1</v>
      </c>
      <c r="C2234" t="s">
        <v>26</v>
      </c>
      <c r="D2234" t="s">
        <v>10</v>
      </c>
      <c r="E2234" t="s">
        <v>15</v>
      </c>
      <c r="F2234" t="s">
        <v>24</v>
      </c>
      <c r="G2234" t="s">
        <v>69</v>
      </c>
      <c r="H2234" t="s">
        <v>25</v>
      </c>
    </row>
    <row r="2236" spans="1:8" ht="16" x14ac:dyDescent="0.2">
      <c r="A2236" s="1" t="s">
        <v>4</v>
      </c>
      <c r="B2236" s="1" t="s">
        <v>369</v>
      </c>
    </row>
    <row r="2237" spans="1:8" x14ac:dyDescent="0.2">
      <c r="A2237" t="s">
        <v>5</v>
      </c>
      <c r="B2237" t="s">
        <v>26</v>
      </c>
    </row>
    <row r="2238" spans="1:8" x14ac:dyDescent="0.2">
      <c r="A2238" t="s">
        <v>6</v>
      </c>
      <c r="B2238">
        <v>1</v>
      </c>
    </row>
    <row r="2239" spans="1:8" x14ac:dyDescent="0.2">
      <c r="A2239" t="s">
        <v>7</v>
      </c>
      <c r="B2239" t="s">
        <v>71</v>
      </c>
    </row>
    <row r="2240" spans="1:8" x14ac:dyDescent="0.2">
      <c r="A2240" t="s">
        <v>8</v>
      </c>
      <c r="B2240" t="s">
        <v>9</v>
      </c>
    </row>
    <row r="2241" spans="1:8" x14ac:dyDescent="0.2">
      <c r="A2241" t="s">
        <v>10</v>
      </c>
      <c r="B2241" t="s">
        <v>10</v>
      </c>
    </row>
    <row r="2242" spans="1:8" x14ac:dyDescent="0.2">
      <c r="A2242" t="s">
        <v>11</v>
      </c>
      <c r="B2242" t="s">
        <v>12</v>
      </c>
    </row>
    <row r="2243" spans="1:8" x14ac:dyDescent="0.2">
      <c r="A2243" t="s">
        <v>13</v>
      </c>
      <c r="B2243" t="s">
        <v>291</v>
      </c>
    </row>
    <row r="2244" spans="1:8" x14ac:dyDescent="0.2">
      <c r="A2244" t="s">
        <v>14</v>
      </c>
      <c r="B2244" t="s">
        <v>271</v>
      </c>
    </row>
    <row r="2245" spans="1:8" x14ac:dyDescent="0.2">
      <c r="A2245" t="s">
        <v>16</v>
      </c>
      <c r="B2245" t="s">
        <v>15</v>
      </c>
    </row>
    <row r="2246" spans="1:8" x14ac:dyDescent="0.2">
      <c r="A2246" t="s">
        <v>17</v>
      </c>
      <c r="B2246" t="s">
        <v>148</v>
      </c>
    </row>
    <row r="2247" spans="1:8" ht="16" x14ac:dyDescent="0.2">
      <c r="A2247" s="1" t="s">
        <v>18</v>
      </c>
    </row>
    <row r="2248" spans="1:8" x14ac:dyDescent="0.2">
      <c r="A2248" t="s">
        <v>19</v>
      </c>
      <c r="B2248" t="s">
        <v>20</v>
      </c>
      <c r="C2248" t="s">
        <v>5</v>
      </c>
      <c r="D2248" t="s">
        <v>10</v>
      </c>
      <c r="E2248" t="s">
        <v>22</v>
      </c>
      <c r="F2248" t="s">
        <v>8</v>
      </c>
      <c r="G2248" t="s">
        <v>7</v>
      </c>
      <c r="H2248" t="s">
        <v>23</v>
      </c>
    </row>
    <row r="2249" spans="1:8" x14ac:dyDescent="0.2">
      <c r="A2249" t="s">
        <v>61</v>
      </c>
      <c r="B2249">
        <v>139.4021739130435</v>
      </c>
      <c r="C2249" t="s">
        <v>33</v>
      </c>
      <c r="D2249" t="s">
        <v>27</v>
      </c>
      <c r="E2249" t="s">
        <v>15</v>
      </c>
      <c r="F2249" t="s">
        <v>28</v>
      </c>
      <c r="G2249" t="s">
        <v>61</v>
      </c>
      <c r="H2249" t="s">
        <v>62</v>
      </c>
    </row>
    <row r="2250" spans="1:8" x14ac:dyDescent="0.2">
      <c r="A2250" t="s">
        <v>272</v>
      </c>
      <c r="B2250">
        <v>1350</v>
      </c>
      <c r="C2250" t="s">
        <v>33</v>
      </c>
      <c r="D2250" t="s">
        <v>27</v>
      </c>
      <c r="E2250" t="s">
        <v>15</v>
      </c>
      <c r="F2250" t="s">
        <v>28</v>
      </c>
      <c r="G2250" t="s">
        <v>273</v>
      </c>
      <c r="H2250" t="s">
        <v>62</v>
      </c>
    </row>
    <row r="2251" spans="1:8" x14ac:dyDescent="0.2">
      <c r="A2251" t="s">
        <v>274</v>
      </c>
      <c r="B2251">
        <v>271.788424573535</v>
      </c>
      <c r="C2251" t="s">
        <v>33</v>
      </c>
      <c r="D2251" t="s">
        <v>27</v>
      </c>
      <c r="E2251" t="s">
        <v>15</v>
      </c>
      <c r="F2251" t="s">
        <v>28</v>
      </c>
      <c r="G2251" t="s">
        <v>500</v>
      </c>
      <c r="H2251" t="s">
        <v>275</v>
      </c>
    </row>
    <row r="2252" spans="1:8" x14ac:dyDescent="0.2">
      <c r="A2252" t="s">
        <v>60</v>
      </c>
      <c r="B2252">
        <v>48.583333333333329</v>
      </c>
      <c r="C2252" t="s">
        <v>26</v>
      </c>
      <c r="D2252" t="s">
        <v>27</v>
      </c>
      <c r="E2252" t="s">
        <v>15</v>
      </c>
      <c r="F2252" t="s">
        <v>28</v>
      </c>
      <c r="G2252" t="s">
        <v>54</v>
      </c>
      <c r="H2252" t="s">
        <v>34</v>
      </c>
    </row>
    <row r="2253" spans="1:8" x14ac:dyDescent="0.2">
      <c r="A2253" t="s">
        <v>276</v>
      </c>
      <c r="B2253">
        <v>-1259.18115942029</v>
      </c>
      <c r="C2253" t="s">
        <v>33</v>
      </c>
      <c r="D2253" t="s">
        <v>27</v>
      </c>
      <c r="E2253" t="s">
        <v>15</v>
      </c>
      <c r="F2253" t="s">
        <v>28</v>
      </c>
      <c r="G2253" t="s">
        <v>277</v>
      </c>
      <c r="H2253" t="s">
        <v>25</v>
      </c>
    </row>
    <row r="2254" spans="1:8" x14ac:dyDescent="0.2">
      <c r="A2254" t="s">
        <v>501</v>
      </c>
      <c r="B2254">
        <v>-271.788424573535</v>
      </c>
      <c r="C2254" t="s">
        <v>33</v>
      </c>
      <c r="D2254" t="s">
        <v>27</v>
      </c>
      <c r="E2254" t="s">
        <v>15</v>
      </c>
      <c r="F2254" t="s">
        <v>28</v>
      </c>
      <c r="G2254" t="s">
        <v>502</v>
      </c>
      <c r="H2254" t="s">
        <v>25</v>
      </c>
    </row>
    <row r="2255" spans="1:8" x14ac:dyDescent="0.2">
      <c r="A2255" t="s">
        <v>369</v>
      </c>
      <c r="B2255">
        <v>1</v>
      </c>
      <c r="C2255" t="s">
        <v>26</v>
      </c>
      <c r="D2255" t="s">
        <v>10</v>
      </c>
      <c r="E2255" t="s">
        <v>15</v>
      </c>
      <c r="F2255" t="s">
        <v>24</v>
      </c>
      <c r="G2255" t="s">
        <v>71</v>
      </c>
      <c r="H2255" t="s">
        <v>25</v>
      </c>
    </row>
    <row r="2257" spans="1:8" ht="16" x14ac:dyDescent="0.2">
      <c r="A2257" s="1" t="s">
        <v>4</v>
      </c>
      <c r="B2257" s="1" t="s">
        <v>313</v>
      </c>
    </row>
    <row r="2258" spans="1:8" x14ac:dyDescent="0.2">
      <c r="A2258" t="s">
        <v>5</v>
      </c>
      <c r="B2258" t="s">
        <v>26</v>
      </c>
    </row>
    <row r="2259" spans="1:8" x14ac:dyDescent="0.2">
      <c r="A2259" t="s">
        <v>6</v>
      </c>
      <c r="B2259">
        <v>1</v>
      </c>
    </row>
    <row r="2260" spans="1:8" x14ac:dyDescent="0.2">
      <c r="A2260" t="s">
        <v>7</v>
      </c>
      <c r="B2260" t="s">
        <v>73</v>
      </c>
    </row>
    <row r="2261" spans="1:8" x14ac:dyDescent="0.2">
      <c r="A2261" t="s">
        <v>8</v>
      </c>
      <c r="B2261" t="s">
        <v>9</v>
      </c>
    </row>
    <row r="2262" spans="1:8" x14ac:dyDescent="0.2">
      <c r="A2262" t="s">
        <v>10</v>
      </c>
      <c r="B2262" t="s">
        <v>10</v>
      </c>
    </row>
    <row r="2263" spans="1:8" x14ac:dyDescent="0.2">
      <c r="A2263" t="s">
        <v>11</v>
      </c>
      <c r="B2263" t="s">
        <v>12</v>
      </c>
    </row>
    <row r="2264" spans="1:8" x14ac:dyDescent="0.2">
      <c r="A2264" t="s">
        <v>13</v>
      </c>
      <c r="B2264" t="s">
        <v>291</v>
      </c>
    </row>
    <row r="2265" spans="1:8" x14ac:dyDescent="0.2">
      <c r="A2265" t="s">
        <v>14</v>
      </c>
      <c r="B2265" t="s">
        <v>271</v>
      </c>
    </row>
    <row r="2266" spans="1:8" x14ac:dyDescent="0.2">
      <c r="A2266" t="s">
        <v>16</v>
      </c>
      <c r="B2266" t="s">
        <v>15</v>
      </c>
    </row>
    <row r="2267" spans="1:8" x14ac:dyDescent="0.2">
      <c r="A2267" t="s">
        <v>17</v>
      </c>
      <c r="B2267" t="s">
        <v>149</v>
      </c>
    </row>
    <row r="2268" spans="1:8" ht="16" x14ac:dyDescent="0.2">
      <c r="A2268" s="1" t="s">
        <v>18</v>
      </c>
    </row>
    <row r="2269" spans="1:8" x14ac:dyDescent="0.2">
      <c r="A2269" t="s">
        <v>19</v>
      </c>
      <c r="B2269" t="s">
        <v>20</v>
      </c>
      <c r="C2269" t="s">
        <v>5</v>
      </c>
      <c r="D2269" t="s">
        <v>10</v>
      </c>
      <c r="E2269" t="s">
        <v>22</v>
      </c>
      <c r="F2269" t="s">
        <v>8</v>
      </c>
      <c r="G2269" t="s">
        <v>7</v>
      </c>
      <c r="H2269" t="s">
        <v>23</v>
      </c>
    </row>
    <row r="2270" spans="1:8" x14ac:dyDescent="0.2">
      <c r="A2270" t="s">
        <v>61</v>
      </c>
      <c r="B2270">
        <v>143.804347826087</v>
      </c>
      <c r="C2270" t="s">
        <v>33</v>
      </c>
      <c r="D2270" t="s">
        <v>27</v>
      </c>
      <c r="E2270" t="s">
        <v>15</v>
      </c>
      <c r="F2270" t="s">
        <v>28</v>
      </c>
      <c r="G2270" t="s">
        <v>61</v>
      </c>
      <c r="H2270" t="s">
        <v>62</v>
      </c>
    </row>
    <row r="2271" spans="1:8" x14ac:dyDescent="0.2">
      <c r="A2271" t="s">
        <v>272</v>
      </c>
      <c r="B2271">
        <v>1350</v>
      </c>
      <c r="C2271" t="s">
        <v>33</v>
      </c>
      <c r="D2271" t="s">
        <v>27</v>
      </c>
      <c r="E2271" t="s">
        <v>15</v>
      </c>
      <c r="F2271" t="s">
        <v>28</v>
      </c>
      <c r="G2271" t="s">
        <v>273</v>
      </c>
      <c r="H2271" t="s">
        <v>62</v>
      </c>
    </row>
    <row r="2272" spans="1:8" x14ac:dyDescent="0.2">
      <c r="A2272" t="s">
        <v>274</v>
      </c>
      <c r="B2272">
        <v>269.30102577742872</v>
      </c>
      <c r="C2272" t="s">
        <v>33</v>
      </c>
      <c r="D2272" t="s">
        <v>27</v>
      </c>
      <c r="E2272" t="s">
        <v>15</v>
      </c>
      <c r="F2272" t="s">
        <v>28</v>
      </c>
      <c r="G2272" t="s">
        <v>500</v>
      </c>
      <c r="H2272" t="s">
        <v>275</v>
      </c>
    </row>
    <row r="2273" spans="1:8" x14ac:dyDescent="0.2">
      <c r="A2273" t="s">
        <v>60</v>
      </c>
      <c r="B2273">
        <v>48.583333333333329</v>
      </c>
      <c r="C2273" t="s">
        <v>26</v>
      </c>
      <c r="D2273" t="s">
        <v>27</v>
      </c>
      <c r="E2273" t="s">
        <v>15</v>
      </c>
      <c r="F2273" t="s">
        <v>28</v>
      </c>
      <c r="G2273" t="s">
        <v>54</v>
      </c>
      <c r="H2273" t="s">
        <v>34</v>
      </c>
    </row>
    <row r="2274" spans="1:8" x14ac:dyDescent="0.2">
      <c r="A2274" t="s">
        <v>276</v>
      </c>
      <c r="B2274">
        <v>-1254.778985507246</v>
      </c>
      <c r="C2274" t="s">
        <v>33</v>
      </c>
      <c r="D2274" t="s">
        <v>27</v>
      </c>
      <c r="E2274" t="s">
        <v>15</v>
      </c>
      <c r="F2274" t="s">
        <v>28</v>
      </c>
      <c r="G2274" t="s">
        <v>277</v>
      </c>
      <c r="H2274" t="s">
        <v>25</v>
      </c>
    </row>
    <row r="2275" spans="1:8" x14ac:dyDescent="0.2">
      <c r="A2275" t="s">
        <v>501</v>
      </c>
      <c r="B2275">
        <v>-269.30102577742872</v>
      </c>
      <c r="C2275" t="s">
        <v>33</v>
      </c>
      <c r="D2275" t="s">
        <v>27</v>
      </c>
      <c r="E2275" t="s">
        <v>15</v>
      </c>
      <c r="F2275" t="s">
        <v>28</v>
      </c>
      <c r="G2275" t="s">
        <v>502</v>
      </c>
      <c r="H2275" t="s">
        <v>25</v>
      </c>
    </row>
    <row r="2276" spans="1:8" x14ac:dyDescent="0.2">
      <c r="A2276" t="s">
        <v>313</v>
      </c>
      <c r="B2276">
        <v>1</v>
      </c>
      <c r="C2276" t="s">
        <v>26</v>
      </c>
      <c r="D2276" t="s">
        <v>10</v>
      </c>
      <c r="E2276" t="s">
        <v>15</v>
      </c>
      <c r="F2276" t="s">
        <v>24</v>
      </c>
      <c r="G2276" t="s">
        <v>73</v>
      </c>
      <c r="H2276" t="s">
        <v>25</v>
      </c>
    </row>
    <row r="2279" spans="1:8" ht="16" x14ac:dyDescent="0.2">
      <c r="A2279" s="1" t="s">
        <v>4</v>
      </c>
      <c r="B2279" s="1" t="s">
        <v>462</v>
      </c>
    </row>
    <row r="2280" spans="1:8" x14ac:dyDescent="0.2">
      <c r="A2280" t="s">
        <v>5</v>
      </c>
      <c r="B2280" t="s">
        <v>26</v>
      </c>
    </row>
    <row r="2281" spans="1:8" x14ac:dyDescent="0.2">
      <c r="A2281" t="s">
        <v>6</v>
      </c>
      <c r="B2281">
        <v>1</v>
      </c>
    </row>
    <row r="2282" spans="1:8" x14ac:dyDescent="0.2">
      <c r="A2282" t="s">
        <v>7</v>
      </c>
      <c r="B2282" t="s">
        <v>65</v>
      </c>
    </row>
    <row r="2283" spans="1:8" x14ac:dyDescent="0.2">
      <c r="A2283" t="s">
        <v>8</v>
      </c>
      <c r="B2283" t="s">
        <v>9</v>
      </c>
    </row>
    <row r="2284" spans="1:8" x14ac:dyDescent="0.2">
      <c r="A2284" t="s">
        <v>10</v>
      </c>
      <c r="B2284" t="s">
        <v>10</v>
      </c>
    </row>
    <row r="2285" spans="1:8" x14ac:dyDescent="0.2">
      <c r="A2285" t="s">
        <v>11</v>
      </c>
      <c r="B2285" t="s">
        <v>12</v>
      </c>
    </row>
    <row r="2286" spans="1:8" x14ac:dyDescent="0.2">
      <c r="A2286" t="s">
        <v>13</v>
      </c>
      <c r="B2286" t="s">
        <v>291</v>
      </c>
    </row>
    <row r="2287" spans="1:8" x14ac:dyDescent="0.2">
      <c r="A2287" t="s">
        <v>14</v>
      </c>
      <c r="B2287" t="s">
        <v>271</v>
      </c>
    </row>
    <row r="2288" spans="1:8" x14ac:dyDescent="0.2">
      <c r="A2288" t="s">
        <v>16</v>
      </c>
      <c r="B2288" t="s">
        <v>15</v>
      </c>
    </row>
    <row r="2289" spans="1:8" x14ac:dyDescent="0.2">
      <c r="A2289" t="s">
        <v>17</v>
      </c>
      <c r="B2289" t="s">
        <v>150</v>
      </c>
    </row>
    <row r="2290" spans="1:8" ht="16" x14ac:dyDescent="0.2">
      <c r="A2290" s="1" t="s">
        <v>18</v>
      </c>
    </row>
    <row r="2291" spans="1:8" x14ac:dyDescent="0.2">
      <c r="A2291" t="s">
        <v>19</v>
      </c>
      <c r="B2291" t="s">
        <v>20</v>
      </c>
      <c r="C2291" t="s">
        <v>5</v>
      </c>
      <c r="D2291" t="s">
        <v>10</v>
      </c>
      <c r="E2291" t="s">
        <v>22</v>
      </c>
      <c r="F2291" t="s">
        <v>8</v>
      </c>
      <c r="G2291" t="s">
        <v>7</v>
      </c>
      <c r="H2291" t="s">
        <v>23</v>
      </c>
    </row>
    <row r="2292" spans="1:8" x14ac:dyDescent="0.2">
      <c r="A2292" t="s">
        <v>61</v>
      </c>
      <c r="B2292">
        <v>150</v>
      </c>
      <c r="C2292" t="s">
        <v>33</v>
      </c>
      <c r="D2292" t="s">
        <v>27</v>
      </c>
      <c r="E2292" t="s">
        <v>15</v>
      </c>
      <c r="F2292" t="s">
        <v>28</v>
      </c>
      <c r="G2292" t="s">
        <v>61</v>
      </c>
      <c r="H2292" t="s">
        <v>62</v>
      </c>
    </row>
    <row r="2293" spans="1:8" x14ac:dyDescent="0.2">
      <c r="A2293" t="s">
        <v>272</v>
      </c>
      <c r="B2293">
        <v>1500</v>
      </c>
      <c r="C2293" t="s">
        <v>33</v>
      </c>
      <c r="D2293" t="s">
        <v>27</v>
      </c>
      <c r="E2293" t="s">
        <v>15</v>
      </c>
      <c r="F2293" t="s">
        <v>28</v>
      </c>
      <c r="G2293" t="s">
        <v>273</v>
      </c>
      <c r="H2293" t="s">
        <v>62</v>
      </c>
    </row>
    <row r="2294" spans="1:8" x14ac:dyDescent="0.2">
      <c r="A2294" t="s">
        <v>274</v>
      </c>
      <c r="B2294">
        <v>316.20308794828293</v>
      </c>
      <c r="C2294" t="s">
        <v>33</v>
      </c>
      <c r="D2294" t="s">
        <v>27</v>
      </c>
      <c r="E2294" t="s">
        <v>15</v>
      </c>
      <c r="F2294" t="s">
        <v>28</v>
      </c>
      <c r="G2294" t="s">
        <v>500</v>
      </c>
      <c r="H2294" t="s">
        <v>275</v>
      </c>
    </row>
    <row r="2295" spans="1:8" x14ac:dyDescent="0.2">
      <c r="A2295" t="s">
        <v>60</v>
      </c>
      <c r="B2295">
        <v>53.5</v>
      </c>
      <c r="C2295" t="s">
        <v>26</v>
      </c>
      <c r="D2295" t="s">
        <v>27</v>
      </c>
      <c r="E2295" t="s">
        <v>15</v>
      </c>
      <c r="F2295" t="s">
        <v>28</v>
      </c>
      <c r="G2295" t="s">
        <v>54</v>
      </c>
      <c r="H2295" t="s">
        <v>34</v>
      </c>
    </row>
    <row r="2296" spans="1:8" x14ac:dyDescent="0.2">
      <c r="A2296" t="s">
        <v>276</v>
      </c>
      <c r="B2296">
        <v>-1403.5</v>
      </c>
      <c r="C2296" t="s">
        <v>33</v>
      </c>
      <c r="D2296" t="s">
        <v>27</v>
      </c>
      <c r="E2296" t="s">
        <v>15</v>
      </c>
      <c r="F2296" t="s">
        <v>28</v>
      </c>
      <c r="G2296" t="s">
        <v>277</v>
      </c>
      <c r="H2296" t="s">
        <v>25</v>
      </c>
    </row>
    <row r="2297" spans="1:8" x14ac:dyDescent="0.2">
      <c r="A2297" t="s">
        <v>501</v>
      </c>
      <c r="B2297">
        <v>-316.20308794828293</v>
      </c>
      <c r="C2297" t="s">
        <v>33</v>
      </c>
      <c r="D2297" t="s">
        <v>27</v>
      </c>
      <c r="E2297" t="s">
        <v>15</v>
      </c>
      <c r="F2297" t="s">
        <v>28</v>
      </c>
      <c r="G2297" t="s">
        <v>502</v>
      </c>
      <c r="H2297" t="s">
        <v>25</v>
      </c>
    </row>
    <row r="2298" spans="1:8" x14ac:dyDescent="0.2">
      <c r="A2298" t="s">
        <v>462</v>
      </c>
      <c r="B2298">
        <v>1</v>
      </c>
      <c r="C2298" t="s">
        <v>26</v>
      </c>
      <c r="D2298" t="s">
        <v>10</v>
      </c>
      <c r="E2298" t="s">
        <v>15</v>
      </c>
      <c r="F2298" t="s">
        <v>24</v>
      </c>
      <c r="G2298" t="s">
        <v>65</v>
      </c>
      <c r="H2298" t="s">
        <v>25</v>
      </c>
    </row>
    <row r="2300" spans="1:8" ht="16" x14ac:dyDescent="0.2">
      <c r="A2300" s="1" t="s">
        <v>4</v>
      </c>
      <c r="B2300" s="1" t="s">
        <v>438</v>
      </c>
    </row>
    <row r="2301" spans="1:8" x14ac:dyDescent="0.2">
      <c r="A2301" t="s">
        <v>5</v>
      </c>
      <c r="B2301" t="s">
        <v>26</v>
      </c>
    </row>
    <row r="2302" spans="1:8" x14ac:dyDescent="0.2">
      <c r="A2302" t="s">
        <v>6</v>
      </c>
      <c r="B2302">
        <v>1</v>
      </c>
    </row>
    <row r="2303" spans="1:8" x14ac:dyDescent="0.2">
      <c r="A2303" t="s">
        <v>7</v>
      </c>
      <c r="B2303" t="s">
        <v>67</v>
      </c>
    </row>
    <row r="2304" spans="1:8" x14ac:dyDescent="0.2">
      <c r="A2304" t="s">
        <v>8</v>
      </c>
      <c r="B2304" t="s">
        <v>9</v>
      </c>
    </row>
    <row r="2305" spans="1:8" x14ac:dyDescent="0.2">
      <c r="A2305" t="s">
        <v>10</v>
      </c>
      <c r="B2305" t="s">
        <v>10</v>
      </c>
    </row>
    <row r="2306" spans="1:8" x14ac:dyDescent="0.2">
      <c r="A2306" t="s">
        <v>11</v>
      </c>
      <c r="B2306" t="s">
        <v>12</v>
      </c>
    </row>
    <row r="2307" spans="1:8" x14ac:dyDescent="0.2">
      <c r="A2307" t="s">
        <v>13</v>
      </c>
      <c r="B2307" t="s">
        <v>291</v>
      </c>
    </row>
    <row r="2308" spans="1:8" x14ac:dyDescent="0.2">
      <c r="A2308" t="s">
        <v>14</v>
      </c>
      <c r="B2308" t="s">
        <v>271</v>
      </c>
    </row>
    <row r="2309" spans="1:8" x14ac:dyDescent="0.2">
      <c r="A2309" t="s">
        <v>16</v>
      </c>
      <c r="B2309" t="s">
        <v>15</v>
      </c>
    </row>
    <row r="2310" spans="1:8" x14ac:dyDescent="0.2">
      <c r="A2310" t="s">
        <v>17</v>
      </c>
      <c r="B2310" t="s">
        <v>151</v>
      </c>
    </row>
    <row r="2311" spans="1:8" ht="16" x14ac:dyDescent="0.2">
      <c r="A2311" s="1" t="s">
        <v>18</v>
      </c>
    </row>
    <row r="2312" spans="1:8" x14ac:dyDescent="0.2">
      <c r="A2312" t="s">
        <v>19</v>
      </c>
      <c r="B2312" t="s">
        <v>20</v>
      </c>
      <c r="C2312" t="s">
        <v>5</v>
      </c>
      <c r="D2312" t="s">
        <v>10</v>
      </c>
      <c r="E2312" t="s">
        <v>22</v>
      </c>
      <c r="F2312" t="s">
        <v>8</v>
      </c>
      <c r="G2312" t="s">
        <v>7</v>
      </c>
      <c r="H2312" t="s">
        <v>23</v>
      </c>
    </row>
    <row r="2313" spans="1:8" x14ac:dyDescent="0.2">
      <c r="A2313" t="s">
        <v>61</v>
      </c>
      <c r="B2313">
        <v>150</v>
      </c>
      <c r="C2313" t="s">
        <v>33</v>
      </c>
      <c r="D2313" t="s">
        <v>27</v>
      </c>
      <c r="E2313" t="s">
        <v>15</v>
      </c>
      <c r="F2313" t="s">
        <v>28</v>
      </c>
      <c r="G2313" t="s">
        <v>61</v>
      </c>
      <c r="H2313" t="s">
        <v>62</v>
      </c>
    </row>
    <row r="2314" spans="1:8" x14ac:dyDescent="0.2">
      <c r="A2314" t="s">
        <v>272</v>
      </c>
      <c r="B2314">
        <v>1500</v>
      </c>
      <c r="C2314" t="s">
        <v>33</v>
      </c>
      <c r="D2314" t="s">
        <v>27</v>
      </c>
      <c r="E2314" t="s">
        <v>15</v>
      </c>
      <c r="F2314" t="s">
        <v>28</v>
      </c>
      <c r="G2314" t="s">
        <v>273</v>
      </c>
      <c r="H2314" t="s">
        <v>62</v>
      </c>
    </row>
    <row r="2315" spans="1:8" x14ac:dyDescent="0.2">
      <c r="A2315" t="s">
        <v>274</v>
      </c>
      <c r="B2315">
        <v>315.63053942917702</v>
      </c>
      <c r="C2315" t="s">
        <v>33</v>
      </c>
      <c r="D2315" t="s">
        <v>27</v>
      </c>
      <c r="E2315" t="s">
        <v>15</v>
      </c>
      <c r="F2315" t="s">
        <v>28</v>
      </c>
      <c r="G2315" t="s">
        <v>500</v>
      </c>
      <c r="H2315" t="s">
        <v>275</v>
      </c>
    </row>
    <row r="2316" spans="1:8" x14ac:dyDescent="0.2">
      <c r="A2316" t="s">
        <v>60</v>
      </c>
      <c r="B2316">
        <v>51.270833333333329</v>
      </c>
      <c r="C2316" t="s">
        <v>26</v>
      </c>
      <c r="D2316" t="s">
        <v>27</v>
      </c>
      <c r="E2316" t="s">
        <v>15</v>
      </c>
      <c r="F2316" t="s">
        <v>28</v>
      </c>
      <c r="G2316" t="s">
        <v>54</v>
      </c>
      <c r="H2316" t="s">
        <v>34</v>
      </c>
    </row>
    <row r="2317" spans="1:8" x14ac:dyDescent="0.2">
      <c r="A2317" t="s">
        <v>276</v>
      </c>
      <c r="B2317">
        <v>-1401.270833333333</v>
      </c>
      <c r="C2317" t="s">
        <v>33</v>
      </c>
      <c r="D2317" t="s">
        <v>27</v>
      </c>
      <c r="E2317" t="s">
        <v>15</v>
      </c>
      <c r="F2317" t="s">
        <v>28</v>
      </c>
      <c r="G2317" t="s">
        <v>277</v>
      </c>
      <c r="H2317" t="s">
        <v>25</v>
      </c>
    </row>
    <row r="2318" spans="1:8" x14ac:dyDescent="0.2">
      <c r="A2318" t="s">
        <v>501</v>
      </c>
      <c r="B2318">
        <v>-315.63053942917702</v>
      </c>
      <c r="C2318" t="s">
        <v>33</v>
      </c>
      <c r="D2318" t="s">
        <v>27</v>
      </c>
      <c r="E2318" t="s">
        <v>15</v>
      </c>
      <c r="F2318" t="s">
        <v>28</v>
      </c>
      <c r="G2318" t="s">
        <v>502</v>
      </c>
      <c r="H2318" t="s">
        <v>25</v>
      </c>
    </row>
    <row r="2319" spans="1:8" x14ac:dyDescent="0.2">
      <c r="A2319" t="s">
        <v>438</v>
      </c>
      <c r="B2319">
        <v>1</v>
      </c>
      <c r="C2319" t="s">
        <v>26</v>
      </c>
      <c r="D2319" t="s">
        <v>10</v>
      </c>
      <c r="E2319" t="s">
        <v>15</v>
      </c>
      <c r="F2319" t="s">
        <v>24</v>
      </c>
      <c r="G2319" t="s">
        <v>67</v>
      </c>
      <c r="H2319" t="s">
        <v>25</v>
      </c>
    </row>
    <row r="2321" spans="1:8" ht="16" x14ac:dyDescent="0.2">
      <c r="A2321" s="1" t="s">
        <v>4</v>
      </c>
      <c r="B2321" s="1" t="s">
        <v>414</v>
      </c>
    </row>
    <row r="2322" spans="1:8" x14ac:dyDescent="0.2">
      <c r="A2322" t="s">
        <v>5</v>
      </c>
      <c r="B2322" t="s">
        <v>26</v>
      </c>
    </row>
    <row r="2323" spans="1:8" x14ac:dyDescent="0.2">
      <c r="A2323" t="s">
        <v>6</v>
      </c>
      <c r="B2323">
        <v>1</v>
      </c>
    </row>
    <row r="2324" spans="1:8" x14ac:dyDescent="0.2">
      <c r="A2324" t="s">
        <v>7</v>
      </c>
      <c r="B2324" t="s">
        <v>69</v>
      </c>
    </row>
    <row r="2325" spans="1:8" x14ac:dyDescent="0.2">
      <c r="A2325" t="s">
        <v>8</v>
      </c>
      <c r="B2325" t="s">
        <v>9</v>
      </c>
    </row>
    <row r="2326" spans="1:8" x14ac:dyDescent="0.2">
      <c r="A2326" t="s">
        <v>10</v>
      </c>
      <c r="B2326" t="s">
        <v>10</v>
      </c>
    </row>
    <row r="2327" spans="1:8" x14ac:dyDescent="0.2">
      <c r="A2327" t="s">
        <v>11</v>
      </c>
      <c r="B2327" t="s">
        <v>12</v>
      </c>
    </row>
    <row r="2328" spans="1:8" x14ac:dyDescent="0.2">
      <c r="A2328" t="s">
        <v>13</v>
      </c>
      <c r="B2328" t="s">
        <v>291</v>
      </c>
    </row>
    <row r="2329" spans="1:8" x14ac:dyDescent="0.2">
      <c r="A2329" t="s">
        <v>14</v>
      </c>
      <c r="B2329" t="s">
        <v>271</v>
      </c>
    </row>
    <row r="2330" spans="1:8" x14ac:dyDescent="0.2">
      <c r="A2330" t="s">
        <v>16</v>
      </c>
      <c r="B2330" t="s">
        <v>15</v>
      </c>
    </row>
    <row r="2331" spans="1:8" x14ac:dyDescent="0.2">
      <c r="A2331" t="s">
        <v>17</v>
      </c>
      <c r="B2331" t="s">
        <v>152</v>
      </c>
    </row>
    <row r="2332" spans="1:8" ht="16" x14ac:dyDescent="0.2">
      <c r="A2332" s="1" t="s">
        <v>18</v>
      </c>
    </row>
    <row r="2333" spans="1:8" x14ac:dyDescent="0.2">
      <c r="A2333" t="s">
        <v>19</v>
      </c>
      <c r="B2333" t="s">
        <v>20</v>
      </c>
      <c r="C2333" t="s">
        <v>5</v>
      </c>
      <c r="D2333" t="s">
        <v>10</v>
      </c>
      <c r="E2333" t="s">
        <v>22</v>
      </c>
      <c r="F2333" t="s">
        <v>8</v>
      </c>
      <c r="G2333" t="s">
        <v>7</v>
      </c>
      <c r="H2333" t="s">
        <v>23</v>
      </c>
    </row>
    <row r="2334" spans="1:8" x14ac:dyDescent="0.2">
      <c r="A2334" t="s">
        <v>61</v>
      </c>
      <c r="B2334">
        <v>150</v>
      </c>
      <c r="C2334" t="s">
        <v>33</v>
      </c>
      <c r="D2334" t="s">
        <v>27</v>
      </c>
      <c r="E2334" t="s">
        <v>15</v>
      </c>
      <c r="F2334" t="s">
        <v>28</v>
      </c>
      <c r="G2334" t="s">
        <v>61</v>
      </c>
      <c r="H2334" t="s">
        <v>62</v>
      </c>
    </row>
    <row r="2335" spans="1:8" x14ac:dyDescent="0.2">
      <c r="A2335" t="s">
        <v>272</v>
      </c>
      <c r="B2335">
        <v>1500</v>
      </c>
      <c r="C2335" t="s">
        <v>33</v>
      </c>
      <c r="D2335" t="s">
        <v>27</v>
      </c>
      <c r="E2335" t="s">
        <v>15</v>
      </c>
      <c r="F2335" t="s">
        <v>28</v>
      </c>
      <c r="G2335" t="s">
        <v>273</v>
      </c>
      <c r="H2335" t="s">
        <v>62</v>
      </c>
    </row>
    <row r="2336" spans="1:8" x14ac:dyDescent="0.2">
      <c r="A2336" t="s">
        <v>274</v>
      </c>
      <c r="B2336">
        <v>315.05799091007111</v>
      </c>
      <c r="C2336" t="s">
        <v>33</v>
      </c>
      <c r="D2336" t="s">
        <v>27</v>
      </c>
      <c r="E2336" t="s">
        <v>15</v>
      </c>
      <c r="F2336" t="s">
        <v>28</v>
      </c>
      <c r="G2336" t="s">
        <v>500</v>
      </c>
      <c r="H2336" t="s">
        <v>275</v>
      </c>
    </row>
    <row r="2337" spans="1:8" x14ac:dyDescent="0.2">
      <c r="A2337" t="s">
        <v>60</v>
      </c>
      <c r="B2337">
        <v>49.041666666666657</v>
      </c>
      <c r="C2337" t="s">
        <v>26</v>
      </c>
      <c r="D2337" t="s">
        <v>27</v>
      </c>
      <c r="E2337" t="s">
        <v>15</v>
      </c>
      <c r="F2337" t="s">
        <v>28</v>
      </c>
      <c r="G2337" t="s">
        <v>54</v>
      </c>
      <c r="H2337" t="s">
        <v>34</v>
      </c>
    </row>
    <row r="2338" spans="1:8" x14ac:dyDescent="0.2">
      <c r="A2338" t="s">
        <v>276</v>
      </c>
      <c r="B2338">
        <v>-1399.041666666667</v>
      </c>
      <c r="C2338" t="s">
        <v>33</v>
      </c>
      <c r="D2338" t="s">
        <v>27</v>
      </c>
      <c r="E2338" t="s">
        <v>15</v>
      </c>
      <c r="F2338" t="s">
        <v>28</v>
      </c>
      <c r="G2338" t="s">
        <v>277</v>
      </c>
      <c r="H2338" t="s">
        <v>25</v>
      </c>
    </row>
    <row r="2339" spans="1:8" x14ac:dyDescent="0.2">
      <c r="A2339" t="s">
        <v>501</v>
      </c>
      <c r="B2339">
        <v>-315.05799091007111</v>
      </c>
      <c r="C2339" t="s">
        <v>33</v>
      </c>
      <c r="D2339" t="s">
        <v>27</v>
      </c>
      <c r="E2339" t="s">
        <v>15</v>
      </c>
      <c r="F2339" t="s">
        <v>28</v>
      </c>
      <c r="G2339" t="s">
        <v>502</v>
      </c>
      <c r="H2339" t="s">
        <v>25</v>
      </c>
    </row>
    <row r="2340" spans="1:8" x14ac:dyDescent="0.2">
      <c r="A2340" t="s">
        <v>414</v>
      </c>
      <c r="B2340">
        <v>1</v>
      </c>
      <c r="C2340" t="s">
        <v>26</v>
      </c>
      <c r="D2340" t="s">
        <v>10</v>
      </c>
      <c r="E2340" t="s">
        <v>15</v>
      </c>
      <c r="F2340" t="s">
        <v>24</v>
      </c>
      <c r="G2340" t="s">
        <v>69</v>
      </c>
      <c r="H2340" t="s">
        <v>25</v>
      </c>
    </row>
    <row r="2342" spans="1:8" ht="16" x14ac:dyDescent="0.2">
      <c r="A2342" s="1" t="s">
        <v>4</v>
      </c>
      <c r="B2342" s="1" t="s">
        <v>370</v>
      </c>
    </row>
    <row r="2343" spans="1:8" x14ac:dyDescent="0.2">
      <c r="A2343" t="s">
        <v>5</v>
      </c>
      <c r="B2343" t="s">
        <v>26</v>
      </c>
    </row>
    <row r="2344" spans="1:8" x14ac:dyDescent="0.2">
      <c r="A2344" t="s">
        <v>6</v>
      </c>
      <c r="B2344">
        <v>1</v>
      </c>
    </row>
    <row r="2345" spans="1:8" x14ac:dyDescent="0.2">
      <c r="A2345" t="s">
        <v>7</v>
      </c>
      <c r="B2345" t="s">
        <v>71</v>
      </c>
    </row>
    <row r="2346" spans="1:8" x14ac:dyDescent="0.2">
      <c r="A2346" t="s">
        <v>8</v>
      </c>
      <c r="B2346" t="s">
        <v>9</v>
      </c>
    </row>
    <row r="2347" spans="1:8" x14ac:dyDescent="0.2">
      <c r="A2347" t="s">
        <v>10</v>
      </c>
      <c r="B2347" t="s">
        <v>10</v>
      </c>
    </row>
    <row r="2348" spans="1:8" x14ac:dyDescent="0.2">
      <c r="A2348" t="s">
        <v>11</v>
      </c>
      <c r="B2348" t="s">
        <v>12</v>
      </c>
    </row>
    <row r="2349" spans="1:8" x14ac:dyDescent="0.2">
      <c r="A2349" t="s">
        <v>13</v>
      </c>
      <c r="B2349" t="s">
        <v>291</v>
      </c>
    </row>
    <row r="2350" spans="1:8" x14ac:dyDescent="0.2">
      <c r="A2350" t="s">
        <v>14</v>
      </c>
      <c r="B2350" t="s">
        <v>271</v>
      </c>
    </row>
    <row r="2351" spans="1:8" x14ac:dyDescent="0.2">
      <c r="A2351" t="s">
        <v>16</v>
      </c>
      <c r="B2351" t="s">
        <v>15</v>
      </c>
    </row>
    <row r="2352" spans="1:8" x14ac:dyDescent="0.2">
      <c r="A2352" t="s">
        <v>17</v>
      </c>
      <c r="B2352" t="s">
        <v>153</v>
      </c>
    </row>
    <row r="2353" spans="1:8" ht="16" x14ac:dyDescent="0.2">
      <c r="A2353" s="1" t="s">
        <v>18</v>
      </c>
    </row>
    <row r="2354" spans="1:8" x14ac:dyDescent="0.2">
      <c r="A2354" t="s">
        <v>19</v>
      </c>
      <c r="B2354" t="s">
        <v>20</v>
      </c>
      <c r="C2354" t="s">
        <v>5</v>
      </c>
      <c r="D2354" t="s">
        <v>10</v>
      </c>
      <c r="E2354" t="s">
        <v>22</v>
      </c>
      <c r="F2354" t="s">
        <v>8</v>
      </c>
      <c r="G2354" t="s">
        <v>7</v>
      </c>
      <c r="H2354" t="s">
        <v>23</v>
      </c>
    </row>
    <row r="2355" spans="1:8" x14ac:dyDescent="0.2">
      <c r="A2355" t="s">
        <v>61</v>
      </c>
      <c r="B2355">
        <v>147.14673913043481</v>
      </c>
      <c r="C2355" t="s">
        <v>33</v>
      </c>
      <c r="D2355" t="s">
        <v>27</v>
      </c>
      <c r="E2355" t="s">
        <v>15</v>
      </c>
      <c r="F2355" t="s">
        <v>28</v>
      </c>
      <c r="G2355" t="s">
        <v>61</v>
      </c>
      <c r="H2355" t="s">
        <v>62</v>
      </c>
    </row>
    <row r="2356" spans="1:8" x14ac:dyDescent="0.2">
      <c r="A2356" t="s">
        <v>272</v>
      </c>
      <c r="B2356">
        <v>1425</v>
      </c>
      <c r="C2356" t="s">
        <v>33</v>
      </c>
      <c r="D2356" t="s">
        <v>27</v>
      </c>
      <c r="E2356" t="s">
        <v>15</v>
      </c>
      <c r="F2356" t="s">
        <v>28</v>
      </c>
      <c r="G2356" t="s">
        <v>273</v>
      </c>
      <c r="H2356" t="s">
        <v>62</v>
      </c>
    </row>
    <row r="2357" spans="1:8" x14ac:dyDescent="0.2">
      <c r="A2357" t="s">
        <v>274</v>
      </c>
      <c r="B2357">
        <v>304.24007455002561</v>
      </c>
      <c r="C2357" t="s">
        <v>33</v>
      </c>
      <c r="D2357" t="s">
        <v>27</v>
      </c>
      <c r="E2357" t="s">
        <v>15</v>
      </c>
      <c r="F2357" t="s">
        <v>28</v>
      </c>
      <c r="G2357" t="s">
        <v>500</v>
      </c>
      <c r="H2357" t="s">
        <v>275</v>
      </c>
    </row>
    <row r="2358" spans="1:8" x14ac:dyDescent="0.2">
      <c r="A2358" t="s">
        <v>60</v>
      </c>
      <c r="B2358">
        <v>49.041666666666657</v>
      </c>
      <c r="C2358" t="s">
        <v>26</v>
      </c>
      <c r="D2358" t="s">
        <v>27</v>
      </c>
      <c r="E2358" t="s">
        <v>15</v>
      </c>
      <c r="F2358" t="s">
        <v>28</v>
      </c>
      <c r="G2358" t="s">
        <v>54</v>
      </c>
      <c r="H2358" t="s">
        <v>34</v>
      </c>
    </row>
    <row r="2359" spans="1:8" x14ac:dyDescent="0.2">
      <c r="A2359" t="s">
        <v>276</v>
      </c>
      <c r="B2359">
        <v>-1326.894927536232</v>
      </c>
      <c r="C2359" t="s">
        <v>33</v>
      </c>
      <c r="D2359" t="s">
        <v>27</v>
      </c>
      <c r="E2359" t="s">
        <v>15</v>
      </c>
      <c r="F2359" t="s">
        <v>28</v>
      </c>
      <c r="G2359" t="s">
        <v>277</v>
      </c>
      <c r="H2359" t="s">
        <v>25</v>
      </c>
    </row>
    <row r="2360" spans="1:8" x14ac:dyDescent="0.2">
      <c r="A2360" t="s">
        <v>501</v>
      </c>
      <c r="B2360">
        <v>-304.24007455002561</v>
      </c>
      <c r="C2360" t="s">
        <v>33</v>
      </c>
      <c r="D2360" t="s">
        <v>27</v>
      </c>
      <c r="E2360" t="s">
        <v>15</v>
      </c>
      <c r="F2360" t="s">
        <v>28</v>
      </c>
      <c r="G2360" t="s">
        <v>502</v>
      </c>
      <c r="H2360" t="s">
        <v>25</v>
      </c>
    </row>
    <row r="2361" spans="1:8" x14ac:dyDescent="0.2">
      <c r="A2361" t="s">
        <v>370</v>
      </c>
      <c r="B2361">
        <v>1</v>
      </c>
      <c r="C2361" t="s">
        <v>26</v>
      </c>
      <c r="D2361" t="s">
        <v>10</v>
      </c>
      <c r="E2361" t="s">
        <v>15</v>
      </c>
      <c r="F2361" t="s">
        <v>24</v>
      </c>
      <c r="G2361" t="s">
        <v>71</v>
      </c>
      <c r="H2361" t="s">
        <v>25</v>
      </c>
    </row>
    <row r="2363" spans="1:8" ht="16" x14ac:dyDescent="0.2">
      <c r="A2363" s="1" t="s">
        <v>4</v>
      </c>
      <c r="B2363" s="1" t="s">
        <v>314</v>
      </c>
    </row>
    <row r="2364" spans="1:8" x14ac:dyDescent="0.2">
      <c r="A2364" t="s">
        <v>5</v>
      </c>
      <c r="B2364" t="s">
        <v>26</v>
      </c>
    </row>
    <row r="2365" spans="1:8" x14ac:dyDescent="0.2">
      <c r="A2365" t="s">
        <v>6</v>
      </c>
      <c r="B2365">
        <v>1</v>
      </c>
    </row>
    <row r="2366" spans="1:8" x14ac:dyDescent="0.2">
      <c r="A2366" t="s">
        <v>7</v>
      </c>
      <c r="B2366" t="s">
        <v>73</v>
      </c>
    </row>
    <row r="2367" spans="1:8" x14ac:dyDescent="0.2">
      <c r="A2367" t="s">
        <v>8</v>
      </c>
      <c r="B2367" t="s">
        <v>9</v>
      </c>
    </row>
    <row r="2368" spans="1:8" x14ac:dyDescent="0.2">
      <c r="A2368" t="s">
        <v>10</v>
      </c>
      <c r="B2368" t="s">
        <v>10</v>
      </c>
    </row>
    <row r="2369" spans="1:8" x14ac:dyDescent="0.2">
      <c r="A2369" t="s">
        <v>11</v>
      </c>
      <c r="B2369" t="s">
        <v>12</v>
      </c>
    </row>
    <row r="2370" spans="1:8" x14ac:dyDescent="0.2">
      <c r="A2370" t="s">
        <v>13</v>
      </c>
      <c r="B2370" t="s">
        <v>291</v>
      </c>
    </row>
    <row r="2371" spans="1:8" x14ac:dyDescent="0.2">
      <c r="A2371" t="s">
        <v>14</v>
      </c>
      <c r="B2371" t="s">
        <v>271</v>
      </c>
    </row>
    <row r="2372" spans="1:8" x14ac:dyDescent="0.2">
      <c r="A2372" t="s">
        <v>16</v>
      </c>
      <c r="B2372" t="s">
        <v>15</v>
      </c>
    </row>
    <row r="2373" spans="1:8" x14ac:dyDescent="0.2">
      <c r="A2373" t="s">
        <v>17</v>
      </c>
      <c r="B2373" t="s">
        <v>154</v>
      </c>
    </row>
    <row r="2374" spans="1:8" ht="16" x14ac:dyDescent="0.2">
      <c r="A2374" s="1" t="s">
        <v>18</v>
      </c>
    </row>
    <row r="2375" spans="1:8" x14ac:dyDescent="0.2">
      <c r="A2375" t="s">
        <v>19</v>
      </c>
      <c r="B2375" t="s">
        <v>20</v>
      </c>
      <c r="C2375" t="s">
        <v>5</v>
      </c>
      <c r="D2375" t="s">
        <v>10</v>
      </c>
      <c r="E2375" t="s">
        <v>22</v>
      </c>
      <c r="F2375" t="s">
        <v>8</v>
      </c>
      <c r="G2375" t="s">
        <v>7</v>
      </c>
      <c r="H2375" t="s">
        <v>23</v>
      </c>
    </row>
    <row r="2376" spans="1:8" x14ac:dyDescent="0.2">
      <c r="A2376" t="s">
        <v>61</v>
      </c>
      <c r="B2376">
        <v>143.804347826087</v>
      </c>
      <c r="C2376" t="s">
        <v>33</v>
      </c>
      <c r="D2376" t="s">
        <v>27</v>
      </c>
      <c r="E2376" t="s">
        <v>15</v>
      </c>
      <c r="F2376" t="s">
        <v>28</v>
      </c>
      <c r="G2376" t="s">
        <v>61</v>
      </c>
      <c r="H2376" t="s">
        <v>62</v>
      </c>
    </row>
    <row r="2377" spans="1:8" x14ac:dyDescent="0.2">
      <c r="A2377" t="s">
        <v>272</v>
      </c>
      <c r="B2377">
        <v>1350</v>
      </c>
      <c r="C2377" t="s">
        <v>33</v>
      </c>
      <c r="D2377" t="s">
        <v>27</v>
      </c>
      <c r="E2377" t="s">
        <v>15</v>
      </c>
      <c r="F2377" t="s">
        <v>28</v>
      </c>
      <c r="G2377" t="s">
        <v>273</v>
      </c>
      <c r="H2377" t="s">
        <v>62</v>
      </c>
    </row>
    <row r="2378" spans="1:8" x14ac:dyDescent="0.2">
      <c r="A2378" t="s">
        <v>274</v>
      </c>
      <c r="B2378">
        <v>293.57766797222422</v>
      </c>
      <c r="C2378" t="s">
        <v>33</v>
      </c>
      <c r="D2378" t="s">
        <v>27</v>
      </c>
      <c r="E2378" t="s">
        <v>15</v>
      </c>
      <c r="F2378" t="s">
        <v>28</v>
      </c>
      <c r="G2378" t="s">
        <v>500</v>
      </c>
      <c r="H2378" t="s">
        <v>275</v>
      </c>
    </row>
    <row r="2379" spans="1:8" x14ac:dyDescent="0.2">
      <c r="A2379" t="s">
        <v>60</v>
      </c>
      <c r="B2379">
        <v>49.041666666666657</v>
      </c>
      <c r="C2379" t="s">
        <v>26</v>
      </c>
      <c r="D2379" t="s">
        <v>27</v>
      </c>
      <c r="E2379" t="s">
        <v>15</v>
      </c>
      <c r="F2379" t="s">
        <v>28</v>
      </c>
      <c r="G2379" t="s">
        <v>54</v>
      </c>
      <c r="H2379" t="s">
        <v>34</v>
      </c>
    </row>
    <row r="2380" spans="1:8" x14ac:dyDescent="0.2">
      <c r="A2380" t="s">
        <v>276</v>
      </c>
      <c r="B2380">
        <v>-1255.23731884058</v>
      </c>
      <c r="C2380" t="s">
        <v>33</v>
      </c>
      <c r="D2380" t="s">
        <v>27</v>
      </c>
      <c r="E2380" t="s">
        <v>15</v>
      </c>
      <c r="F2380" t="s">
        <v>28</v>
      </c>
      <c r="G2380" t="s">
        <v>277</v>
      </c>
      <c r="H2380" t="s">
        <v>25</v>
      </c>
    </row>
    <row r="2381" spans="1:8" x14ac:dyDescent="0.2">
      <c r="A2381" t="s">
        <v>501</v>
      </c>
      <c r="B2381">
        <v>-293.57766797222422</v>
      </c>
      <c r="C2381" t="s">
        <v>33</v>
      </c>
      <c r="D2381" t="s">
        <v>27</v>
      </c>
      <c r="E2381" t="s">
        <v>15</v>
      </c>
      <c r="F2381" t="s">
        <v>28</v>
      </c>
      <c r="G2381" t="s">
        <v>502</v>
      </c>
      <c r="H2381" t="s">
        <v>25</v>
      </c>
    </row>
    <row r="2382" spans="1:8" x14ac:dyDescent="0.2">
      <c r="A2382" t="s">
        <v>314</v>
      </c>
      <c r="B2382">
        <v>1</v>
      </c>
      <c r="C2382" t="s">
        <v>26</v>
      </c>
      <c r="D2382" t="s">
        <v>10</v>
      </c>
      <c r="E2382" t="s">
        <v>15</v>
      </c>
      <c r="F2382" t="s">
        <v>24</v>
      </c>
      <c r="G2382" t="s">
        <v>73</v>
      </c>
      <c r="H2382" t="s">
        <v>25</v>
      </c>
    </row>
    <row r="2385" spans="1:8" ht="16" x14ac:dyDescent="0.2">
      <c r="A2385" s="1" t="s">
        <v>4</v>
      </c>
      <c r="B2385" s="1" t="s">
        <v>463</v>
      </c>
    </row>
    <row r="2386" spans="1:8" x14ac:dyDescent="0.2">
      <c r="A2386" t="s">
        <v>5</v>
      </c>
      <c r="B2386" t="s">
        <v>26</v>
      </c>
    </row>
    <row r="2387" spans="1:8" x14ac:dyDescent="0.2">
      <c r="A2387" t="s">
        <v>6</v>
      </c>
      <c r="B2387">
        <v>1</v>
      </c>
    </row>
    <row r="2388" spans="1:8" x14ac:dyDescent="0.2">
      <c r="A2388" t="s">
        <v>7</v>
      </c>
      <c r="B2388" t="s">
        <v>65</v>
      </c>
    </row>
    <row r="2389" spans="1:8" x14ac:dyDescent="0.2">
      <c r="A2389" t="s">
        <v>8</v>
      </c>
      <c r="B2389" t="s">
        <v>9</v>
      </c>
    </row>
    <row r="2390" spans="1:8" x14ac:dyDescent="0.2">
      <c r="A2390" t="s">
        <v>10</v>
      </c>
      <c r="B2390" t="s">
        <v>10</v>
      </c>
    </row>
    <row r="2391" spans="1:8" x14ac:dyDescent="0.2">
      <c r="A2391" t="s">
        <v>11</v>
      </c>
      <c r="B2391" t="s">
        <v>12</v>
      </c>
    </row>
    <row r="2392" spans="1:8" x14ac:dyDescent="0.2">
      <c r="A2392" t="s">
        <v>13</v>
      </c>
      <c r="B2392" t="s">
        <v>291</v>
      </c>
    </row>
    <row r="2393" spans="1:8" x14ac:dyDescent="0.2">
      <c r="A2393" t="s">
        <v>14</v>
      </c>
      <c r="B2393" t="s">
        <v>271</v>
      </c>
    </row>
    <row r="2394" spans="1:8" x14ac:dyDescent="0.2">
      <c r="A2394" t="s">
        <v>16</v>
      </c>
      <c r="B2394" t="s">
        <v>15</v>
      </c>
    </row>
    <row r="2395" spans="1:8" x14ac:dyDescent="0.2">
      <c r="A2395" t="s">
        <v>17</v>
      </c>
      <c r="B2395" t="s">
        <v>155</v>
      </c>
    </row>
    <row r="2396" spans="1:8" ht="16" x14ac:dyDescent="0.2">
      <c r="A2396" s="1" t="s">
        <v>18</v>
      </c>
    </row>
    <row r="2397" spans="1:8" x14ac:dyDescent="0.2">
      <c r="A2397" t="s">
        <v>19</v>
      </c>
      <c r="B2397" t="s">
        <v>20</v>
      </c>
      <c r="C2397" t="s">
        <v>5</v>
      </c>
      <c r="D2397" t="s">
        <v>10</v>
      </c>
      <c r="E2397" t="s">
        <v>22</v>
      </c>
      <c r="F2397" t="s">
        <v>8</v>
      </c>
      <c r="G2397" t="s">
        <v>7</v>
      </c>
      <c r="H2397" t="s">
        <v>23</v>
      </c>
    </row>
    <row r="2398" spans="1:8" x14ac:dyDescent="0.2">
      <c r="A2398" t="s">
        <v>486</v>
      </c>
      <c r="B2398">
        <v>102.0833333333333</v>
      </c>
      <c r="C2398" t="s">
        <v>26</v>
      </c>
      <c r="D2398" t="s">
        <v>27</v>
      </c>
      <c r="E2398" t="s">
        <v>15</v>
      </c>
      <c r="F2398" t="s">
        <v>28</v>
      </c>
      <c r="G2398" t="s">
        <v>487</v>
      </c>
      <c r="H2398" t="s">
        <v>25</v>
      </c>
    </row>
    <row r="2399" spans="1:8" x14ac:dyDescent="0.2">
      <c r="A2399" t="s">
        <v>61</v>
      </c>
      <c r="B2399">
        <v>136.79424</v>
      </c>
      <c r="C2399" t="s">
        <v>33</v>
      </c>
      <c r="D2399" t="s">
        <v>27</v>
      </c>
      <c r="E2399" t="s">
        <v>15</v>
      </c>
      <c r="F2399" t="s">
        <v>28</v>
      </c>
      <c r="G2399" t="s">
        <v>61</v>
      </c>
      <c r="H2399" t="s">
        <v>62</v>
      </c>
    </row>
    <row r="2400" spans="1:8" x14ac:dyDescent="0.2">
      <c r="A2400" t="s">
        <v>272</v>
      </c>
      <c r="B2400">
        <v>1367.9423999999999</v>
      </c>
      <c r="C2400" t="s">
        <v>33</v>
      </c>
      <c r="D2400" t="s">
        <v>27</v>
      </c>
      <c r="E2400" t="s">
        <v>15</v>
      </c>
      <c r="F2400" t="s">
        <v>28</v>
      </c>
      <c r="G2400" t="s">
        <v>273</v>
      </c>
      <c r="H2400" t="s">
        <v>62</v>
      </c>
    </row>
    <row r="2401" spans="1:8" x14ac:dyDescent="0.2">
      <c r="A2401" t="s">
        <v>274</v>
      </c>
      <c r="B2401">
        <v>278.6885803909334</v>
      </c>
      <c r="C2401" t="s">
        <v>33</v>
      </c>
      <c r="D2401" t="s">
        <v>27</v>
      </c>
      <c r="E2401" t="s">
        <v>15</v>
      </c>
      <c r="F2401" t="s">
        <v>28</v>
      </c>
      <c r="G2401" t="s">
        <v>500</v>
      </c>
      <c r="H2401" t="s">
        <v>275</v>
      </c>
    </row>
    <row r="2402" spans="1:8" x14ac:dyDescent="0.2">
      <c r="A2402" t="s">
        <v>276</v>
      </c>
      <c r="B2402">
        <v>-1333.231493333333</v>
      </c>
      <c r="C2402" t="s">
        <v>33</v>
      </c>
      <c r="D2402" t="s">
        <v>27</v>
      </c>
      <c r="E2402" t="s">
        <v>15</v>
      </c>
      <c r="F2402" t="s">
        <v>28</v>
      </c>
      <c r="G2402" t="s">
        <v>277</v>
      </c>
      <c r="H2402" t="s">
        <v>25</v>
      </c>
    </row>
    <row r="2403" spans="1:8" x14ac:dyDescent="0.2">
      <c r="A2403" t="s">
        <v>501</v>
      </c>
      <c r="B2403">
        <v>-278.6885803909334</v>
      </c>
      <c r="C2403" t="s">
        <v>33</v>
      </c>
      <c r="D2403" t="s">
        <v>27</v>
      </c>
      <c r="E2403" t="s">
        <v>15</v>
      </c>
      <c r="F2403" t="s">
        <v>28</v>
      </c>
      <c r="G2403" t="s">
        <v>502</v>
      </c>
      <c r="H2403" t="s">
        <v>25</v>
      </c>
    </row>
    <row r="2404" spans="1:8" x14ac:dyDescent="0.2">
      <c r="A2404" t="s">
        <v>463</v>
      </c>
      <c r="B2404">
        <v>1</v>
      </c>
      <c r="C2404" t="s">
        <v>26</v>
      </c>
      <c r="D2404" t="s">
        <v>10</v>
      </c>
      <c r="E2404" t="s">
        <v>15</v>
      </c>
      <c r="F2404" t="s">
        <v>24</v>
      </c>
      <c r="G2404" t="s">
        <v>65</v>
      </c>
      <c r="H2404" t="s">
        <v>25</v>
      </c>
    </row>
    <row r="2406" spans="1:8" ht="16" x14ac:dyDescent="0.2">
      <c r="A2406" s="1" t="s">
        <v>4</v>
      </c>
      <c r="B2406" s="1" t="s">
        <v>439</v>
      </c>
    </row>
    <row r="2407" spans="1:8" x14ac:dyDescent="0.2">
      <c r="A2407" t="s">
        <v>5</v>
      </c>
      <c r="B2407" t="s">
        <v>26</v>
      </c>
    </row>
    <row r="2408" spans="1:8" x14ac:dyDescent="0.2">
      <c r="A2408" t="s">
        <v>6</v>
      </c>
      <c r="B2408">
        <v>1</v>
      </c>
    </row>
    <row r="2409" spans="1:8" x14ac:dyDescent="0.2">
      <c r="A2409" t="s">
        <v>7</v>
      </c>
      <c r="B2409" t="s">
        <v>67</v>
      </c>
    </row>
    <row r="2410" spans="1:8" x14ac:dyDescent="0.2">
      <c r="A2410" t="s">
        <v>8</v>
      </c>
      <c r="B2410" t="s">
        <v>9</v>
      </c>
    </row>
    <row r="2411" spans="1:8" x14ac:dyDescent="0.2">
      <c r="A2411" t="s">
        <v>10</v>
      </c>
      <c r="B2411" t="s">
        <v>10</v>
      </c>
    </row>
    <row r="2412" spans="1:8" x14ac:dyDescent="0.2">
      <c r="A2412" t="s">
        <v>11</v>
      </c>
      <c r="B2412" t="s">
        <v>12</v>
      </c>
    </row>
    <row r="2413" spans="1:8" x14ac:dyDescent="0.2">
      <c r="A2413" t="s">
        <v>13</v>
      </c>
      <c r="B2413" t="s">
        <v>291</v>
      </c>
    </row>
    <row r="2414" spans="1:8" x14ac:dyDescent="0.2">
      <c r="A2414" t="s">
        <v>14</v>
      </c>
      <c r="B2414" t="s">
        <v>271</v>
      </c>
    </row>
    <row r="2415" spans="1:8" x14ac:dyDescent="0.2">
      <c r="A2415" t="s">
        <v>16</v>
      </c>
      <c r="B2415" t="s">
        <v>15</v>
      </c>
    </row>
    <row r="2416" spans="1:8" x14ac:dyDescent="0.2">
      <c r="A2416" t="s">
        <v>17</v>
      </c>
      <c r="B2416" t="s">
        <v>156</v>
      </c>
    </row>
    <row r="2417" spans="1:8" ht="16" x14ac:dyDescent="0.2">
      <c r="A2417" s="1" t="s">
        <v>18</v>
      </c>
    </row>
    <row r="2418" spans="1:8" x14ac:dyDescent="0.2">
      <c r="A2418" t="s">
        <v>19</v>
      </c>
      <c r="B2418" t="s">
        <v>20</v>
      </c>
      <c r="C2418" t="s">
        <v>5</v>
      </c>
      <c r="D2418" t="s">
        <v>10</v>
      </c>
      <c r="E2418" t="s">
        <v>22</v>
      </c>
      <c r="F2418" t="s">
        <v>8</v>
      </c>
      <c r="G2418" t="s">
        <v>7</v>
      </c>
      <c r="H2418" t="s">
        <v>23</v>
      </c>
    </row>
    <row r="2419" spans="1:8" x14ac:dyDescent="0.2">
      <c r="A2419" t="s">
        <v>486</v>
      </c>
      <c r="B2419">
        <v>97.458333333333343</v>
      </c>
      <c r="C2419" t="s">
        <v>26</v>
      </c>
      <c r="D2419" t="s">
        <v>27</v>
      </c>
      <c r="E2419" t="s">
        <v>15</v>
      </c>
      <c r="F2419" t="s">
        <v>28</v>
      </c>
      <c r="G2419" t="s">
        <v>487</v>
      </c>
      <c r="H2419" t="s">
        <v>25</v>
      </c>
    </row>
    <row r="2420" spans="1:8" x14ac:dyDescent="0.2">
      <c r="A2420" t="s">
        <v>61</v>
      </c>
      <c r="B2420">
        <v>133.42212000000001</v>
      </c>
      <c r="C2420" t="s">
        <v>33</v>
      </c>
      <c r="D2420" t="s">
        <v>27</v>
      </c>
      <c r="E2420" t="s">
        <v>15</v>
      </c>
      <c r="F2420" t="s">
        <v>28</v>
      </c>
      <c r="G2420" t="s">
        <v>61</v>
      </c>
      <c r="H2420" t="s">
        <v>62</v>
      </c>
    </row>
    <row r="2421" spans="1:8" x14ac:dyDescent="0.2">
      <c r="A2421" t="s">
        <v>272</v>
      </c>
      <c r="B2421">
        <v>1334.2212</v>
      </c>
      <c r="C2421" t="s">
        <v>33</v>
      </c>
      <c r="D2421" t="s">
        <v>27</v>
      </c>
      <c r="E2421" t="s">
        <v>15</v>
      </c>
      <c r="F2421" t="s">
        <v>28</v>
      </c>
      <c r="G2421" t="s">
        <v>273</v>
      </c>
      <c r="H2421" t="s">
        <v>62</v>
      </c>
    </row>
    <row r="2422" spans="1:8" x14ac:dyDescent="0.2">
      <c r="A2422" t="s">
        <v>274</v>
      </c>
      <c r="B2422">
        <v>274.63599161213341</v>
      </c>
      <c r="C2422" t="s">
        <v>33</v>
      </c>
      <c r="D2422" t="s">
        <v>27</v>
      </c>
      <c r="E2422" t="s">
        <v>15</v>
      </c>
      <c r="F2422" t="s">
        <v>28</v>
      </c>
      <c r="G2422" t="s">
        <v>500</v>
      </c>
      <c r="H2422" t="s">
        <v>275</v>
      </c>
    </row>
    <row r="2423" spans="1:8" x14ac:dyDescent="0.2">
      <c r="A2423" t="s">
        <v>276</v>
      </c>
      <c r="B2423">
        <v>-1298.257413333333</v>
      </c>
      <c r="C2423" t="s">
        <v>33</v>
      </c>
      <c r="D2423" t="s">
        <v>27</v>
      </c>
      <c r="E2423" t="s">
        <v>15</v>
      </c>
      <c r="F2423" t="s">
        <v>28</v>
      </c>
      <c r="G2423" t="s">
        <v>277</v>
      </c>
      <c r="H2423" t="s">
        <v>25</v>
      </c>
    </row>
    <row r="2424" spans="1:8" x14ac:dyDescent="0.2">
      <c r="A2424" t="s">
        <v>501</v>
      </c>
      <c r="B2424">
        <v>-274.63599161213341</v>
      </c>
      <c r="C2424" t="s">
        <v>33</v>
      </c>
      <c r="D2424" t="s">
        <v>27</v>
      </c>
      <c r="E2424" t="s">
        <v>15</v>
      </c>
      <c r="F2424" t="s">
        <v>28</v>
      </c>
      <c r="G2424" t="s">
        <v>502</v>
      </c>
      <c r="H2424" t="s">
        <v>25</v>
      </c>
    </row>
    <row r="2425" spans="1:8" x14ac:dyDescent="0.2">
      <c r="A2425" t="s">
        <v>439</v>
      </c>
      <c r="B2425">
        <v>1</v>
      </c>
      <c r="C2425" t="s">
        <v>26</v>
      </c>
      <c r="D2425" t="s">
        <v>10</v>
      </c>
      <c r="E2425" t="s">
        <v>15</v>
      </c>
      <c r="F2425" t="s">
        <v>24</v>
      </c>
      <c r="G2425" t="s">
        <v>67</v>
      </c>
      <c r="H2425" t="s">
        <v>25</v>
      </c>
    </row>
    <row r="2427" spans="1:8" ht="16" x14ac:dyDescent="0.2">
      <c r="A2427" s="1" t="s">
        <v>4</v>
      </c>
      <c r="B2427" s="1" t="s">
        <v>415</v>
      </c>
    </row>
    <row r="2428" spans="1:8" x14ac:dyDescent="0.2">
      <c r="A2428" t="s">
        <v>5</v>
      </c>
      <c r="B2428" t="s">
        <v>26</v>
      </c>
    </row>
    <row r="2429" spans="1:8" x14ac:dyDescent="0.2">
      <c r="A2429" t="s">
        <v>6</v>
      </c>
      <c r="B2429">
        <v>1</v>
      </c>
    </row>
    <row r="2430" spans="1:8" x14ac:dyDescent="0.2">
      <c r="A2430" t="s">
        <v>7</v>
      </c>
      <c r="B2430" t="s">
        <v>69</v>
      </c>
    </row>
    <row r="2431" spans="1:8" x14ac:dyDescent="0.2">
      <c r="A2431" t="s">
        <v>8</v>
      </c>
      <c r="B2431" t="s">
        <v>9</v>
      </c>
    </row>
    <row r="2432" spans="1:8" x14ac:dyDescent="0.2">
      <c r="A2432" t="s">
        <v>10</v>
      </c>
      <c r="B2432" t="s">
        <v>10</v>
      </c>
    </row>
    <row r="2433" spans="1:8" x14ac:dyDescent="0.2">
      <c r="A2433" t="s">
        <v>11</v>
      </c>
      <c r="B2433" t="s">
        <v>12</v>
      </c>
    </row>
    <row r="2434" spans="1:8" x14ac:dyDescent="0.2">
      <c r="A2434" t="s">
        <v>13</v>
      </c>
      <c r="B2434" t="s">
        <v>291</v>
      </c>
    </row>
    <row r="2435" spans="1:8" x14ac:dyDescent="0.2">
      <c r="A2435" t="s">
        <v>14</v>
      </c>
      <c r="B2435" t="s">
        <v>271</v>
      </c>
    </row>
    <row r="2436" spans="1:8" x14ac:dyDescent="0.2">
      <c r="A2436" t="s">
        <v>16</v>
      </c>
      <c r="B2436" t="s">
        <v>15</v>
      </c>
    </row>
    <row r="2437" spans="1:8" x14ac:dyDescent="0.2">
      <c r="A2437" t="s">
        <v>17</v>
      </c>
      <c r="B2437" t="s">
        <v>157</v>
      </c>
    </row>
    <row r="2438" spans="1:8" ht="16" x14ac:dyDescent="0.2">
      <c r="A2438" s="1" t="s">
        <v>18</v>
      </c>
    </row>
    <row r="2439" spans="1:8" x14ac:dyDescent="0.2">
      <c r="A2439" t="s">
        <v>19</v>
      </c>
      <c r="B2439" t="s">
        <v>20</v>
      </c>
      <c r="C2439" t="s">
        <v>5</v>
      </c>
      <c r="D2439" t="s">
        <v>10</v>
      </c>
      <c r="E2439" t="s">
        <v>22</v>
      </c>
      <c r="F2439" t="s">
        <v>8</v>
      </c>
      <c r="G2439" t="s">
        <v>7</v>
      </c>
      <c r="H2439" t="s">
        <v>23</v>
      </c>
    </row>
    <row r="2440" spans="1:8" x14ac:dyDescent="0.2">
      <c r="A2440" t="s">
        <v>486</v>
      </c>
      <c r="B2440">
        <v>92.833333333333343</v>
      </c>
      <c r="C2440" t="s">
        <v>26</v>
      </c>
      <c r="D2440" t="s">
        <v>27</v>
      </c>
      <c r="E2440" t="s">
        <v>15</v>
      </c>
      <c r="F2440" t="s">
        <v>28</v>
      </c>
      <c r="G2440" t="s">
        <v>487</v>
      </c>
      <c r="H2440" t="s">
        <v>25</v>
      </c>
    </row>
    <row r="2441" spans="1:8" x14ac:dyDescent="0.2">
      <c r="A2441" t="s">
        <v>61</v>
      </c>
      <c r="B2441">
        <v>130.05000000000001</v>
      </c>
      <c r="C2441" t="s">
        <v>33</v>
      </c>
      <c r="D2441" t="s">
        <v>27</v>
      </c>
      <c r="E2441" t="s">
        <v>15</v>
      </c>
      <c r="F2441" t="s">
        <v>28</v>
      </c>
      <c r="G2441" t="s">
        <v>61</v>
      </c>
      <c r="H2441" t="s">
        <v>62</v>
      </c>
    </row>
    <row r="2442" spans="1:8" x14ac:dyDescent="0.2">
      <c r="A2442" t="s">
        <v>272</v>
      </c>
      <c r="B2442">
        <v>1300.5</v>
      </c>
      <c r="C2442" t="s">
        <v>33</v>
      </c>
      <c r="D2442" t="s">
        <v>27</v>
      </c>
      <c r="E2442" t="s">
        <v>15</v>
      </c>
      <c r="F2442" t="s">
        <v>28</v>
      </c>
      <c r="G2442" t="s">
        <v>273</v>
      </c>
      <c r="H2442" t="s">
        <v>62</v>
      </c>
    </row>
    <row r="2443" spans="1:8" x14ac:dyDescent="0.2">
      <c r="A2443" t="s">
        <v>274</v>
      </c>
      <c r="B2443">
        <v>270.58340283333331</v>
      </c>
      <c r="C2443" t="s">
        <v>33</v>
      </c>
      <c r="D2443" t="s">
        <v>27</v>
      </c>
      <c r="E2443" t="s">
        <v>15</v>
      </c>
      <c r="F2443" t="s">
        <v>28</v>
      </c>
      <c r="G2443" t="s">
        <v>500</v>
      </c>
      <c r="H2443" t="s">
        <v>275</v>
      </c>
    </row>
    <row r="2444" spans="1:8" x14ac:dyDescent="0.2">
      <c r="A2444" t="s">
        <v>276</v>
      </c>
      <c r="B2444">
        <v>-1263.2833333333331</v>
      </c>
      <c r="C2444" t="s">
        <v>33</v>
      </c>
      <c r="D2444" t="s">
        <v>27</v>
      </c>
      <c r="E2444" t="s">
        <v>15</v>
      </c>
      <c r="F2444" t="s">
        <v>28</v>
      </c>
      <c r="G2444" t="s">
        <v>277</v>
      </c>
      <c r="H2444" t="s">
        <v>25</v>
      </c>
    </row>
    <row r="2445" spans="1:8" x14ac:dyDescent="0.2">
      <c r="A2445" t="s">
        <v>501</v>
      </c>
      <c r="B2445">
        <v>-270.58340283333331</v>
      </c>
      <c r="C2445" t="s">
        <v>33</v>
      </c>
      <c r="D2445" t="s">
        <v>27</v>
      </c>
      <c r="E2445" t="s">
        <v>15</v>
      </c>
      <c r="F2445" t="s">
        <v>28</v>
      </c>
      <c r="G2445" t="s">
        <v>502</v>
      </c>
      <c r="H2445" t="s">
        <v>25</v>
      </c>
    </row>
    <row r="2446" spans="1:8" x14ac:dyDescent="0.2">
      <c r="A2446" t="s">
        <v>415</v>
      </c>
      <c r="B2446">
        <v>1</v>
      </c>
      <c r="C2446" t="s">
        <v>26</v>
      </c>
      <c r="D2446" t="s">
        <v>10</v>
      </c>
      <c r="E2446" t="s">
        <v>15</v>
      </c>
      <c r="F2446" t="s">
        <v>24</v>
      </c>
      <c r="G2446" t="s">
        <v>69</v>
      </c>
      <c r="H2446" t="s">
        <v>25</v>
      </c>
    </row>
    <row r="2448" spans="1:8" ht="16" x14ac:dyDescent="0.2">
      <c r="A2448" s="1" t="s">
        <v>4</v>
      </c>
      <c r="B2448" s="1" t="s">
        <v>371</v>
      </c>
    </row>
    <row r="2449" spans="1:8" x14ac:dyDescent="0.2">
      <c r="A2449" t="s">
        <v>5</v>
      </c>
      <c r="B2449" t="s">
        <v>26</v>
      </c>
    </row>
    <row r="2450" spans="1:8" x14ac:dyDescent="0.2">
      <c r="A2450" t="s">
        <v>6</v>
      </c>
      <c r="B2450">
        <v>1</v>
      </c>
    </row>
    <row r="2451" spans="1:8" x14ac:dyDescent="0.2">
      <c r="A2451" t="s">
        <v>7</v>
      </c>
      <c r="B2451" t="s">
        <v>71</v>
      </c>
    </row>
    <row r="2452" spans="1:8" x14ac:dyDescent="0.2">
      <c r="A2452" t="s">
        <v>8</v>
      </c>
      <c r="B2452" t="s">
        <v>9</v>
      </c>
    </row>
    <row r="2453" spans="1:8" x14ac:dyDescent="0.2">
      <c r="A2453" t="s">
        <v>10</v>
      </c>
      <c r="B2453" t="s">
        <v>10</v>
      </c>
    </row>
    <row r="2454" spans="1:8" x14ac:dyDescent="0.2">
      <c r="A2454" t="s">
        <v>11</v>
      </c>
      <c r="B2454" t="s">
        <v>12</v>
      </c>
    </row>
    <row r="2455" spans="1:8" x14ac:dyDescent="0.2">
      <c r="A2455" t="s">
        <v>13</v>
      </c>
      <c r="B2455" t="s">
        <v>291</v>
      </c>
    </row>
    <row r="2456" spans="1:8" x14ac:dyDescent="0.2">
      <c r="A2456" t="s">
        <v>14</v>
      </c>
      <c r="B2456" t="s">
        <v>271</v>
      </c>
    </row>
    <row r="2457" spans="1:8" x14ac:dyDescent="0.2">
      <c r="A2457" t="s">
        <v>16</v>
      </c>
      <c r="B2457" t="s">
        <v>15</v>
      </c>
    </row>
    <row r="2458" spans="1:8" x14ac:dyDescent="0.2">
      <c r="A2458" t="s">
        <v>17</v>
      </c>
      <c r="B2458" t="s">
        <v>158</v>
      </c>
    </row>
    <row r="2459" spans="1:8" ht="16" x14ac:dyDescent="0.2">
      <c r="A2459" s="1" t="s">
        <v>18</v>
      </c>
    </row>
    <row r="2460" spans="1:8" x14ac:dyDescent="0.2">
      <c r="A2460" t="s">
        <v>19</v>
      </c>
      <c r="B2460" t="s">
        <v>20</v>
      </c>
      <c r="C2460" t="s">
        <v>5</v>
      </c>
      <c r="D2460" t="s">
        <v>10</v>
      </c>
      <c r="E2460" t="s">
        <v>22</v>
      </c>
      <c r="F2460" t="s">
        <v>8</v>
      </c>
      <c r="G2460" t="s">
        <v>7</v>
      </c>
      <c r="H2460" t="s">
        <v>23</v>
      </c>
    </row>
    <row r="2461" spans="1:8" x14ac:dyDescent="0.2">
      <c r="A2461" t="s">
        <v>486</v>
      </c>
      <c r="B2461">
        <v>88.141304347826093</v>
      </c>
      <c r="C2461" t="s">
        <v>26</v>
      </c>
      <c r="D2461" t="s">
        <v>27</v>
      </c>
      <c r="E2461" t="s">
        <v>15</v>
      </c>
      <c r="F2461" t="s">
        <v>28</v>
      </c>
      <c r="G2461" t="s">
        <v>487</v>
      </c>
      <c r="H2461" t="s">
        <v>25</v>
      </c>
    </row>
    <row r="2462" spans="1:8" x14ac:dyDescent="0.2">
      <c r="A2462" t="s">
        <v>61</v>
      </c>
      <c r="B2462">
        <v>136.8464673913044</v>
      </c>
      <c r="C2462" t="s">
        <v>33</v>
      </c>
      <c r="D2462" t="s">
        <v>27</v>
      </c>
      <c r="E2462" t="s">
        <v>15</v>
      </c>
      <c r="F2462" t="s">
        <v>28</v>
      </c>
      <c r="G2462" t="s">
        <v>61</v>
      </c>
      <c r="H2462" t="s">
        <v>62</v>
      </c>
    </row>
    <row r="2463" spans="1:8" x14ac:dyDescent="0.2">
      <c r="A2463" t="s">
        <v>272</v>
      </c>
      <c r="B2463">
        <v>1325.25</v>
      </c>
      <c r="C2463" t="s">
        <v>33</v>
      </c>
      <c r="D2463" t="s">
        <v>27</v>
      </c>
      <c r="E2463" t="s">
        <v>15</v>
      </c>
      <c r="F2463" t="s">
        <v>28</v>
      </c>
      <c r="G2463" t="s">
        <v>273</v>
      </c>
      <c r="H2463" t="s">
        <v>62</v>
      </c>
    </row>
    <row r="2464" spans="1:8" x14ac:dyDescent="0.2">
      <c r="A2464" t="s">
        <v>274</v>
      </c>
      <c r="B2464">
        <v>269.89265187101108</v>
      </c>
      <c r="C2464" t="s">
        <v>33</v>
      </c>
      <c r="D2464" t="s">
        <v>27</v>
      </c>
      <c r="E2464" t="s">
        <v>15</v>
      </c>
      <c r="F2464" t="s">
        <v>28</v>
      </c>
      <c r="G2464" t="s">
        <v>500</v>
      </c>
      <c r="H2464" t="s">
        <v>275</v>
      </c>
    </row>
    <row r="2465" spans="1:8" x14ac:dyDescent="0.2">
      <c r="A2465" t="s">
        <v>276</v>
      </c>
      <c r="B2465">
        <v>-1276.544836956522</v>
      </c>
      <c r="C2465" t="s">
        <v>33</v>
      </c>
      <c r="D2465" t="s">
        <v>27</v>
      </c>
      <c r="E2465" t="s">
        <v>15</v>
      </c>
      <c r="F2465" t="s">
        <v>28</v>
      </c>
      <c r="G2465" t="s">
        <v>277</v>
      </c>
      <c r="H2465" t="s">
        <v>25</v>
      </c>
    </row>
    <row r="2466" spans="1:8" x14ac:dyDescent="0.2">
      <c r="A2466" t="s">
        <v>501</v>
      </c>
      <c r="B2466">
        <v>-269.89265187101108</v>
      </c>
      <c r="C2466" t="s">
        <v>33</v>
      </c>
      <c r="D2466" t="s">
        <v>27</v>
      </c>
      <c r="E2466" t="s">
        <v>15</v>
      </c>
      <c r="F2466" t="s">
        <v>28</v>
      </c>
      <c r="G2466" t="s">
        <v>502</v>
      </c>
      <c r="H2466" t="s">
        <v>25</v>
      </c>
    </row>
    <row r="2467" spans="1:8" x14ac:dyDescent="0.2">
      <c r="A2467" t="s">
        <v>371</v>
      </c>
      <c r="B2467">
        <v>1</v>
      </c>
      <c r="C2467" t="s">
        <v>26</v>
      </c>
      <c r="D2467" t="s">
        <v>10</v>
      </c>
      <c r="E2467" t="s">
        <v>15</v>
      </c>
      <c r="F2467" t="s">
        <v>24</v>
      </c>
      <c r="G2467" t="s">
        <v>71</v>
      </c>
      <c r="H2467" t="s">
        <v>25</v>
      </c>
    </row>
    <row r="2469" spans="1:8" ht="16" x14ac:dyDescent="0.2">
      <c r="A2469" s="1" t="s">
        <v>4</v>
      </c>
      <c r="B2469" s="1" t="s">
        <v>315</v>
      </c>
    </row>
    <row r="2470" spans="1:8" x14ac:dyDescent="0.2">
      <c r="A2470" t="s">
        <v>5</v>
      </c>
      <c r="B2470" t="s">
        <v>26</v>
      </c>
    </row>
    <row r="2471" spans="1:8" x14ac:dyDescent="0.2">
      <c r="A2471" t="s">
        <v>6</v>
      </c>
      <c r="B2471">
        <v>1</v>
      </c>
    </row>
    <row r="2472" spans="1:8" x14ac:dyDescent="0.2">
      <c r="A2472" t="s">
        <v>7</v>
      </c>
      <c r="B2472" t="s">
        <v>73</v>
      </c>
    </row>
    <row r="2473" spans="1:8" x14ac:dyDescent="0.2">
      <c r="A2473" t="s">
        <v>8</v>
      </c>
      <c r="B2473" t="s">
        <v>9</v>
      </c>
    </row>
    <row r="2474" spans="1:8" x14ac:dyDescent="0.2">
      <c r="A2474" t="s">
        <v>10</v>
      </c>
      <c r="B2474" t="s">
        <v>10</v>
      </c>
    </row>
    <row r="2475" spans="1:8" x14ac:dyDescent="0.2">
      <c r="A2475" t="s">
        <v>11</v>
      </c>
      <c r="B2475" t="s">
        <v>12</v>
      </c>
    </row>
    <row r="2476" spans="1:8" x14ac:dyDescent="0.2">
      <c r="A2476" t="s">
        <v>13</v>
      </c>
      <c r="B2476" t="s">
        <v>291</v>
      </c>
    </row>
    <row r="2477" spans="1:8" x14ac:dyDescent="0.2">
      <c r="A2477" t="s">
        <v>14</v>
      </c>
      <c r="B2477" t="s">
        <v>271</v>
      </c>
    </row>
    <row r="2478" spans="1:8" x14ac:dyDescent="0.2">
      <c r="A2478" t="s">
        <v>16</v>
      </c>
      <c r="B2478" t="s">
        <v>15</v>
      </c>
    </row>
    <row r="2479" spans="1:8" x14ac:dyDescent="0.2">
      <c r="A2479" t="s">
        <v>17</v>
      </c>
      <c r="B2479" t="s">
        <v>159</v>
      </c>
    </row>
    <row r="2480" spans="1:8" ht="16" x14ac:dyDescent="0.2">
      <c r="A2480" s="1" t="s">
        <v>18</v>
      </c>
    </row>
    <row r="2481" spans="1:8" x14ac:dyDescent="0.2">
      <c r="A2481" t="s">
        <v>19</v>
      </c>
      <c r="B2481" t="s">
        <v>20</v>
      </c>
      <c r="C2481" t="s">
        <v>5</v>
      </c>
      <c r="D2481" t="s">
        <v>10</v>
      </c>
      <c r="E2481" t="s">
        <v>22</v>
      </c>
      <c r="F2481" t="s">
        <v>8</v>
      </c>
      <c r="G2481" t="s">
        <v>7</v>
      </c>
      <c r="H2481" t="s">
        <v>23</v>
      </c>
    </row>
    <row r="2482" spans="1:8" x14ac:dyDescent="0.2">
      <c r="A2482" t="s">
        <v>486</v>
      </c>
      <c r="B2482">
        <v>83.449275362318872</v>
      </c>
      <c r="C2482" t="s">
        <v>26</v>
      </c>
      <c r="D2482" t="s">
        <v>27</v>
      </c>
      <c r="E2482" t="s">
        <v>15</v>
      </c>
      <c r="F2482" t="s">
        <v>28</v>
      </c>
      <c r="G2482" t="s">
        <v>487</v>
      </c>
      <c r="H2482" t="s">
        <v>25</v>
      </c>
    </row>
    <row r="2483" spans="1:8" x14ac:dyDescent="0.2">
      <c r="A2483" t="s">
        <v>61</v>
      </c>
      <c r="B2483">
        <v>143.804347826087</v>
      </c>
      <c r="C2483" t="s">
        <v>33</v>
      </c>
      <c r="D2483" t="s">
        <v>27</v>
      </c>
      <c r="E2483" t="s">
        <v>15</v>
      </c>
      <c r="F2483" t="s">
        <v>28</v>
      </c>
      <c r="G2483" t="s">
        <v>61</v>
      </c>
      <c r="H2483" t="s">
        <v>62</v>
      </c>
    </row>
    <row r="2484" spans="1:8" x14ac:dyDescent="0.2">
      <c r="A2484" t="s">
        <v>272</v>
      </c>
      <c r="B2484">
        <v>1350</v>
      </c>
      <c r="C2484" t="s">
        <v>33</v>
      </c>
      <c r="D2484" t="s">
        <v>27</v>
      </c>
      <c r="E2484" t="s">
        <v>15</v>
      </c>
      <c r="F2484" t="s">
        <v>28</v>
      </c>
      <c r="G2484" t="s">
        <v>273</v>
      </c>
      <c r="H2484" t="s">
        <v>62</v>
      </c>
    </row>
    <row r="2485" spans="1:8" x14ac:dyDescent="0.2">
      <c r="A2485" t="s">
        <v>274</v>
      </c>
      <c r="B2485">
        <v>269.17137399941993</v>
      </c>
      <c r="C2485" t="s">
        <v>33</v>
      </c>
      <c r="D2485" t="s">
        <v>27</v>
      </c>
      <c r="E2485" t="s">
        <v>15</v>
      </c>
      <c r="F2485" t="s">
        <v>28</v>
      </c>
      <c r="G2485" t="s">
        <v>500</v>
      </c>
      <c r="H2485" t="s">
        <v>275</v>
      </c>
    </row>
    <row r="2486" spans="1:8" x14ac:dyDescent="0.2">
      <c r="A2486" t="s">
        <v>276</v>
      </c>
      <c r="B2486">
        <v>-1289.644927536232</v>
      </c>
      <c r="C2486" t="s">
        <v>33</v>
      </c>
      <c r="D2486" t="s">
        <v>27</v>
      </c>
      <c r="E2486" t="s">
        <v>15</v>
      </c>
      <c r="F2486" t="s">
        <v>28</v>
      </c>
      <c r="G2486" t="s">
        <v>277</v>
      </c>
      <c r="H2486" t="s">
        <v>25</v>
      </c>
    </row>
    <row r="2487" spans="1:8" x14ac:dyDescent="0.2">
      <c r="A2487" t="s">
        <v>501</v>
      </c>
      <c r="B2487">
        <v>-269.17137399941993</v>
      </c>
      <c r="C2487" t="s">
        <v>33</v>
      </c>
      <c r="D2487" t="s">
        <v>27</v>
      </c>
      <c r="E2487" t="s">
        <v>15</v>
      </c>
      <c r="F2487" t="s">
        <v>28</v>
      </c>
      <c r="G2487" t="s">
        <v>502</v>
      </c>
      <c r="H2487" t="s">
        <v>25</v>
      </c>
    </row>
    <row r="2488" spans="1:8" x14ac:dyDescent="0.2">
      <c r="A2488" t="s">
        <v>315</v>
      </c>
      <c r="B2488">
        <v>1</v>
      </c>
      <c r="C2488" t="s">
        <v>26</v>
      </c>
      <c r="D2488" t="s">
        <v>10</v>
      </c>
      <c r="E2488" t="s">
        <v>15</v>
      </c>
      <c r="F2488" t="s">
        <v>24</v>
      </c>
      <c r="G2488" t="s">
        <v>73</v>
      </c>
      <c r="H2488" t="s">
        <v>25</v>
      </c>
    </row>
    <row r="2491" spans="1:8" ht="16" x14ac:dyDescent="0.2">
      <c r="A2491" s="1" t="s">
        <v>4</v>
      </c>
      <c r="B2491" s="1" t="s">
        <v>372</v>
      </c>
    </row>
    <row r="2492" spans="1:8" x14ac:dyDescent="0.2">
      <c r="A2492" t="s">
        <v>5</v>
      </c>
      <c r="B2492" t="s">
        <v>26</v>
      </c>
    </row>
    <row r="2493" spans="1:8" x14ac:dyDescent="0.2">
      <c r="A2493" t="s">
        <v>6</v>
      </c>
      <c r="B2493">
        <v>1</v>
      </c>
    </row>
    <row r="2494" spans="1:8" x14ac:dyDescent="0.2">
      <c r="A2494" t="s">
        <v>7</v>
      </c>
      <c r="B2494" t="s">
        <v>71</v>
      </c>
    </row>
    <row r="2495" spans="1:8" x14ac:dyDescent="0.2">
      <c r="A2495" t="s">
        <v>8</v>
      </c>
      <c r="B2495" t="s">
        <v>9</v>
      </c>
    </row>
    <row r="2496" spans="1:8" x14ac:dyDescent="0.2">
      <c r="A2496" t="s">
        <v>10</v>
      </c>
      <c r="B2496" t="s">
        <v>10</v>
      </c>
    </row>
    <row r="2497" spans="1:8" x14ac:dyDescent="0.2">
      <c r="A2497" t="s">
        <v>11</v>
      </c>
      <c r="B2497" t="s">
        <v>12</v>
      </c>
    </row>
    <row r="2498" spans="1:8" x14ac:dyDescent="0.2">
      <c r="A2498" t="s">
        <v>13</v>
      </c>
      <c r="B2498" t="s">
        <v>291</v>
      </c>
    </row>
    <row r="2499" spans="1:8" x14ac:dyDescent="0.2">
      <c r="A2499" t="s">
        <v>14</v>
      </c>
      <c r="B2499" t="s">
        <v>271</v>
      </c>
    </row>
    <row r="2500" spans="1:8" x14ac:dyDescent="0.2">
      <c r="A2500" t="s">
        <v>16</v>
      </c>
      <c r="B2500" t="s">
        <v>15</v>
      </c>
    </row>
    <row r="2501" spans="1:8" x14ac:dyDescent="0.2">
      <c r="A2501" t="s">
        <v>17</v>
      </c>
      <c r="B2501" t="s">
        <v>160</v>
      </c>
    </row>
    <row r="2502" spans="1:8" ht="16" x14ac:dyDescent="0.2">
      <c r="A2502" s="1" t="s">
        <v>18</v>
      </c>
    </row>
    <row r="2503" spans="1:8" x14ac:dyDescent="0.2">
      <c r="A2503" t="s">
        <v>19</v>
      </c>
      <c r="B2503" t="s">
        <v>20</v>
      </c>
      <c r="C2503" t="s">
        <v>5</v>
      </c>
      <c r="D2503" t="s">
        <v>10</v>
      </c>
      <c r="E2503" t="s">
        <v>22</v>
      </c>
      <c r="F2503" t="s">
        <v>8</v>
      </c>
      <c r="G2503" t="s">
        <v>7</v>
      </c>
      <c r="H2503" t="s">
        <v>23</v>
      </c>
    </row>
    <row r="2504" spans="1:8" x14ac:dyDescent="0.2">
      <c r="A2504" t="s">
        <v>610</v>
      </c>
      <c r="B2504">
        <f>39.5</f>
        <v>39.5</v>
      </c>
      <c r="C2504" t="s">
        <v>33</v>
      </c>
      <c r="D2504" t="s">
        <v>39</v>
      </c>
      <c r="F2504" t="s">
        <v>28</v>
      </c>
      <c r="G2504" t="s">
        <v>611</v>
      </c>
      <c r="H2504" t="s">
        <v>34</v>
      </c>
    </row>
    <row r="2505" spans="1:8" x14ac:dyDescent="0.2">
      <c r="A2505" t="s">
        <v>61</v>
      </c>
      <c r="B2505">
        <v>143.18357164911129</v>
      </c>
      <c r="C2505" t="s">
        <v>33</v>
      </c>
      <c r="D2505" t="s">
        <v>27</v>
      </c>
      <c r="E2505" t="s">
        <v>15</v>
      </c>
      <c r="F2505" t="s">
        <v>28</v>
      </c>
      <c r="G2505" t="s">
        <v>61</v>
      </c>
      <c r="H2505" t="s">
        <v>62</v>
      </c>
    </row>
    <row r="2506" spans="1:8" x14ac:dyDescent="0.2">
      <c r="A2506" t="s">
        <v>283</v>
      </c>
      <c r="B2506">
        <v>5.9804347826086959</v>
      </c>
      <c r="C2506" t="s">
        <v>33</v>
      </c>
      <c r="D2506" t="s">
        <v>27</v>
      </c>
      <c r="E2506" t="s">
        <v>15</v>
      </c>
      <c r="F2506" t="s">
        <v>28</v>
      </c>
      <c r="G2506" t="s">
        <v>284</v>
      </c>
      <c r="H2506" t="s">
        <v>34</v>
      </c>
    </row>
    <row r="2507" spans="1:8" x14ac:dyDescent="0.2">
      <c r="A2507" t="s">
        <v>285</v>
      </c>
      <c r="B2507">
        <v>4.4853260869565217</v>
      </c>
      <c r="C2507" t="s">
        <v>33</v>
      </c>
      <c r="D2507" t="s">
        <v>27</v>
      </c>
      <c r="E2507" t="s">
        <v>15</v>
      </c>
      <c r="F2507" t="s">
        <v>28</v>
      </c>
      <c r="G2507" t="s">
        <v>286</v>
      </c>
      <c r="H2507" t="s">
        <v>34</v>
      </c>
    </row>
    <row r="2508" spans="1:8" x14ac:dyDescent="0.2">
      <c r="A2508" t="s">
        <v>278</v>
      </c>
      <c r="B2508">
        <v>43.996870837288412</v>
      </c>
      <c r="C2508" t="s">
        <v>33</v>
      </c>
      <c r="D2508" t="s">
        <v>27</v>
      </c>
      <c r="E2508" t="s">
        <v>15</v>
      </c>
      <c r="F2508" t="s">
        <v>28</v>
      </c>
      <c r="G2508" t="s">
        <v>279</v>
      </c>
      <c r="H2508" t="s">
        <v>275</v>
      </c>
    </row>
    <row r="2509" spans="1:8" x14ac:dyDescent="0.2">
      <c r="A2509" t="s">
        <v>272</v>
      </c>
      <c r="B2509">
        <v>1386.6198517598141</v>
      </c>
      <c r="C2509" t="s">
        <v>33</v>
      </c>
      <c r="D2509" t="s">
        <v>27</v>
      </c>
      <c r="E2509" t="s">
        <v>15</v>
      </c>
      <c r="F2509" t="s">
        <v>28</v>
      </c>
      <c r="G2509" t="s">
        <v>273</v>
      </c>
      <c r="H2509" t="s">
        <v>62</v>
      </c>
    </row>
    <row r="2510" spans="1:8" x14ac:dyDescent="0.2">
      <c r="A2510" t="s">
        <v>274</v>
      </c>
      <c r="B2510">
        <v>306.03540256579902</v>
      </c>
      <c r="C2510" t="s">
        <v>33</v>
      </c>
      <c r="D2510" t="s">
        <v>27</v>
      </c>
      <c r="E2510" t="s">
        <v>15</v>
      </c>
      <c r="F2510" t="s">
        <v>28</v>
      </c>
      <c r="G2510" t="s">
        <v>500</v>
      </c>
      <c r="H2510" t="s">
        <v>275</v>
      </c>
    </row>
    <row r="2511" spans="1:8" x14ac:dyDescent="0.2">
      <c r="A2511" t="s">
        <v>287</v>
      </c>
      <c r="B2511">
        <v>8.9706521739130434</v>
      </c>
      <c r="C2511" t="s">
        <v>33</v>
      </c>
      <c r="D2511" t="s">
        <v>27</v>
      </c>
      <c r="E2511" t="s">
        <v>15</v>
      </c>
      <c r="F2511" t="s">
        <v>28</v>
      </c>
      <c r="G2511" t="s">
        <v>288</v>
      </c>
      <c r="H2511" t="s">
        <v>34</v>
      </c>
    </row>
    <row r="2512" spans="1:8" x14ac:dyDescent="0.2">
      <c r="A2512" t="s">
        <v>289</v>
      </c>
      <c r="B2512">
        <v>3.9869565217391298</v>
      </c>
      <c r="C2512" t="s">
        <v>33</v>
      </c>
      <c r="D2512" t="s">
        <v>27</v>
      </c>
      <c r="E2512" t="s">
        <v>15</v>
      </c>
      <c r="F2512" t="s">
        <v>28</v>
      </c>
      <c r="G2512" t="s">
        <v>290</v>
      </c>
      <c r="H2512" t="s">
        <v>34</v>
      </c>
    </row>
    <row r="2513" spans="1:8" x14ac:dyDescent="0.2">
      <c r="A2513" t="s">
        <v>280</v>
      </c>
      <c r="B2513">
        <v>-67.420240402505797</v>
      </c>
      <c r="C2513" t="s">
        <v>33</v>
      </c>
      <c r="D2513" t="s">
        <v>27</v>
      </c>
      <c r="E2513" t="s">
        <v>15</v>
      </c>
      <c r="F2513" t="s">
        <v>28</v>
      </c>
      <c r="G2513" t="s">
        <v>281</v>
      </c>
      <c r="H2513" t="s">
        <v>282</v>
      </c>
    </row>
    <row r="2514" spans="1:8" x14ac:dyDescent="0.2">
      <c r="A2514" t="s">
        <v>60</v>
      </c>
      <c r="B2514">
        <v>42.841666666666669</v>
      </c>
      <c r="C2514" t="s">
        <v>26</v>
      </c>
      <c r="D2514" t="s">
        <v>27</v>
      </c>
      <c r="E2514" t="s">
        <v>15</v>
      </c>
      <c r="F2514" t="s">
        <v>28</v>
      </c>
      <c r="G2514" t="s">
        <v>54</v>
      </c>
      <c r="H2514" t="s">
        <v>34</v>
      </c>
    </row>
    <row r="2515" spans="1:8" x14ac:dyDescent="0.2">
      <c r="A2515" t="s">
        <v>276</v>
      </c>
      <c r="B2515">
        <v>-1286.2779467773701</v>
      </c>
      <c r="C2515" t="s">
        <v>33</v>
      </c>
      <c r="D2515" t="s">
        <v>27</v>
      </c>
      <c r="E2515" t="s">
        <v>15</v>
      </c>
      <c r="F2515" t="s">
        <v>28</v>
      </c>
      <c r="G2515" t="s">
        <v>277</v>
      </c>
      <c r="H2515" t="s">
        <v>25</v>
      </c>
    </row>
    <row r="2516" spans="1:8" x14ac:dyDescent="0.2">
      <c r="A2516" t="s">
        <v>501</v>
      </c>
      <c r="B2516">
        <v>-306.03540256579902</v>
      </c>
      <c r="C2516" t="s">
        <v>33</v>
      </c>
      <c r="D2516" t="s">
        <v>27</v>
      </c>
      <c r="E2516" t="s">
        <v>15</v>
      </c>
      <c r="F2516" t="s">
        <v>28</v>
      </c>
      <c r="G2516" t="s">
        <v>502</v>
      </c>
      <c r="H2516" t="s">
        <v>25</v>
      </c>
    </row>
    <row r="2517" spans="1:8" x14ac:dyDescent="0.2">
      <c r="A2517" t="s">
        <v>56</v>
      </c>
      <c r="B2517">
        <v>237.295275011255</v>
      </c>
      <c r="C2517" t="s">
        <v>63</v>
      </c>
      <c r="D2517" t="s">
        <v>39</v>
      </c>
      <c r="E2517" t="s">
        <v>15</v>
      </c>
      <c r="F2517" t="s">
        <v>28</v>
      </c>
      <c r="G2517" t="s">
        <v>58</v>
      </c>
      <c r="H2517" t="s">
        <v>34</v>
      </c>
    </row>
    <row r="2518" spans="1:8" x14ac:dyDescent="0.2">
      <c r="A2518" t="s">
        <v>372</v>
      </c>
      <c r="B2518">
        <v>1</v>
      </c>
      <c r="C2518" t="s">
        <v>26</v>
      </c>
      <c r="D2518" t="s">
        <v>10</v>
      </c>
      <c r="E2518" t="s">
        <v>15</v>
      </c>
      <c r="F2518" t="s">
        <v>24</v>
      </c>
      <c r="G2518" t="s">
        <v>71</v>
      </c>
      <c r="H2518" t="s">
        <v>25</v>
      </c>
    </row>
    <row r="2520" spans="1:8" ht="16" x14ac:dyDescent="0.2">
      <c r="A2520" s="1" t="s">
        <v>4</v>
      </c>
      <c r="B2520" s="1" t="s">
        <v>316</v>
      </c>
    </row>
    <row r="2521" spans="1:8" x14ac:dyDescent="0.2">
      <c r="A2521" t="s">
        <v>5</v>
      </c>
      <c r="B2521" t="s">
        <v>26</v>
      </c>
    </row>
    <row r="2522" spans="1:8" x14ac:dyDescent="0.2">
      <c r="A2522" t="s">
        <v>6</v>
      </c>
      <c r="B2522">
        <v>1</v>
      </c>
    </row>
    <row r="2523" spans="1:8" x14ac:dyDescent="0.2">
      <c r="A2523" t="s">
        <v>7</v>
      </c>
      <c r="B2523" t="s">
        <v>73</v>
      </c>
    </row>
    <row r="2524" spans="1:8" x14ac:dyDescent="0.2">
      <c r="A2524" t="s">
        <v>8</v>
      </c>
      <c r="B2524" t="s">
        <v>9</v>
      </c>
    </row>
    <row r="2525" spans="1:8" x14ac:dyDescent="0.2">
      <c r="A2525" t="s">
        <v>10</v>
      </c>
      <c r="B2525" t="s">
        <v>10</v>
      </c>
    </row>
    <row r="2526" spans="1:8" x14ac:dyDescent="0.2">
      <c r="A2526" t="s">
        <v>11</v>
      </c>
      <c r="B2526" t="s">
        <v>12</v>
      </c>
    </row>
    <row r="2527" spans="1:8" x14ac:dyDescent="0.2">
      <c r="A2527" t="s">
        <v>13</v>
      </c>
      <c r="B2527" t="s">
        <v>291</v>
      </c>
    </row>
    <row r="2528" spans="1:8" x14ac:dyDescent="0.2">
      <c r="A2528" t="s">
        <v>14</v>
      </c>
      <c r="B2528" t="s">
        <v>271</v>
      </c>
    </row>
    <row r="2529" spans="1:8" x14ac:dyDescent="0.2">
      <c r="A2529" t="s">
        <v>16</v>
      </c>
      <c r="B2529" t="s">
        <v>15</v>
      </c>
    </row>
    <row r="2530" spans="1:8" x14ac:dyDescent="0.2">
      <c r="A2530" t="s">
        <v>17</v>
      </c>
      <c r="B2530" t="s">
        <v>161</v>
      </c>
    </row>
    <row r="2531" spans="1:8" ht="16" x14ac:dyDescent="0.2">
      <c r="A2531" s="1" t="s">
        <v>18</v>
      </c>
    </row>
    <row r="2532" spans="1:8" x14ac:dyDescent="0.2">
      <c r="A2532" t="s">
        <v>19</v>
      </c>
      <c r="B2532" t="s">
        <v>20</v>
      </c>
      <c r="C2532" t="s">
        <v>5</v>
      </c>
      <c r="D2532" t="s">
        <v>10</v>
      </c>
      <c r="E2532" t="s">
        <v>22</v>
      </c>
      <c r="F2532" t="s">
        <v>8</v>
      </c>
      <c r="G2532" t="s">
        <v>7</v>
      </c>
      <c r="H2532" t="s">
        <v>23</v>
      </c>
    </row>
    <row r="2533" spans="1:8" x14ac:dyDescent="0.2">
      <c r="A2533" t="s">
        <v>610</v>
      </c>
      <c r="B2533">
        <f>51.1</f>
        <v>51.1</v>
      </c>
      <c r="C2533" t="s">
        <v>33</v>
      </c>
      <c r="D2533" t="s">
        <v>39</v>
      </c>
      <c r="F2533" t="s">
        <v>28</v>
      </c>
      <c r="G2533" t="s">
        <v>611</v>
      </c>
      <c r="H2533" t="s">
        <v>34</v>
      </c>
    </row>
    <row r="2534" spans="1:8" x14ac:dyDescent="0.2">
      <c r="A2534" t="s">
        <v>61</v>
      </c>
      <c r="B2534">
        <v>147.47919481005141</v>
      </c>
      <c r="C2534" t="s">
        <v>33</v>
      </c>
      <c r="D2534" t="s">
        <v>27</v>
      </c>
      <c r="E2534" t="s">
        <v>15</v>
      </c>
      <c r="F2534" t="s">
        <v>28</v>
      </c>
      <c r="G2534" t="s">
        <v>61</v>
      </c>
      <c r="H2534" t="s">
        <v>62</v>
      </c>
    </row>
    <row r="2535" spans="1:8" x14ac:dyDescent="0.2">
      <c r="A2535" t="s">
        <v>283</v>
      </c>
      <c r="B2535">
        <v>5.9608695652173918</v>
      </c>
      <c r="C2535" t="s">
        <v>33</v>
      </c>
      <c r="D2535" t="s">
        <v>27</v>
      </c>
      <c r="E2535" t="s">
        <v>15</v>
      </c>
      <c r="F2535" t="s">
        <v>28</v>
      </c>
      <c r="G2535" t="s">
        <v>284</v>
      </c>
      <c r="H2535" t="s">
        <v>34</v>
      </c>
    </row>
    <row r="2536" spans="1:8" x14ac:dyDescent="0.2">
      <c r="A2536" t="s">
        <v>285</v>
      </c>
      <c r="B2536">
        <v>4.4706521739130434</v>
      </c>
      <c r="C2536" t="s">
        <v>33</v>
      </c>
      <c r="D2536" t="s">
        <v>27</v>
      </c>
      <c r="E2536" t="s">
        <v>15</v>
      </c>
      <c r="F2536" t="s">
        <v>28</v>
      </c>
      <c r="G2536" t="s">
        <v>286</v>
      </c>
      <c r="H2536" t="s">
        <v>34</v>
      </c>
    </row>
    <row r="2537" spans="1:8" x14ac:dyDescent="0.2">
      <c r="A2537" t="s">
        <v>278</v>
      </c>
      <c r="B2537">
        <v>57.018584437541733</v>
      </c>
      <c r="C2537" t="s">
        <v>33</v>
      </c>
      <c r="D2537" t="s">
        <v>27</v>
      </c>
      <c r="E2537" t="s">
        <v>15</v>
      </c>
      <c r="F2537" t="s">
        <v>28</v>
      </c>
      <c r="G2537" t="s">
        <v>279</v>
      </c>
      <c r="H2537" t="s">
        <v>275</v>
      </c>
    </row>
    <row r="2538" spans="1:8" x14ac:dyDescent="0.2">
      <c r="A2538" t="s">
        <v>272</v>
      </c>
      <c r="B2538">
        <v>1384.4985635229309</v>
      </c>
      <c r="C2538" t="s">
        <v>33</v>
      </c>
      <c r="D2538" t="s">
        <v>27</v>
      </c>
      <c r="E2538" t="s">
        <v>15</v>
      </c>
      <c r="F2538" t="s">
        <v>28</v>
      </c>
      <c r="G2538" t="s">
        <v>273</v>
      </c>
      <c r="H2538" t="s">
        <v>62</v>
      </c>
    </row>
    <row r="2539" spans="1:8" x14ac:dyDescent="0.2">
      <c r="A2539" t="s">
        <v>274</v>
      </c>
      <c r="B2539">
        <v>285.37490115266371</v>
      </c>
      <c r="C2539" t="s">
        <v>33</v>
      </c>
      <c r="D2539" t="s">
        <v>27</v>
      </c>
      <c r="E2539" t="s">
        <v>15</v>
      </c>
      <c r="F2539" t="s">
        <v>28</v>
      </c>
      <c r="G2539" t="s">
        <v>500</v>
      </c>
      <c r="H2539" t="s">
        <v>275</v>
      </c>
    </row>
    <row r="2540" spans="1:8" x14ac:dyDescent="0.2">
      <c r="A2540" t="s">
        <v>287</v>
      </c>
      <c r="B2540">
        <v>8.9413043478260867</v>
      </c>
      <c r="C2540" t="s">
        <v>33</v>
      </c>
      <c r="D2540" t="s">
        <v>27</v>
      </c>
      <c r="E2540" t="s">
        <v>15</v>
      </c>
      <c r="F2540" t="s">
        <v>28</v>
      </c>
      <c r="G2540" t="s">
        <v>288</v>
      </c>
      <c r="H2540" t="s">
        <v>34</v>
      </c>
    </row>
    <row r="2541" spans="1:8" x14ac:dyDescent="0.2">
      <c r="A2541" t="s">
        <v>289</v>
      </c>
      <c r="B2541">
        <v>3.973913043478261</v>
      </c>
      <c r="C2541" t="s">
        <v>33</v>
      </c>
      <c r="D2541" t="s">
        <v>27</v>
      </c>
      <c r="E2541" t="s">
        <v>15</v>
      </c>
      <c r="F2541" t="s">
        <v>28</v>
      </c>
      <c r="G2541" t="s">
        <v>290</v>
      </c>
      <c r="H2541" t="s">
        <v>34</v>
      </c>
    </row>
    <row r="2542" spans="1:8" x14ac:dyDescent="0.2">
      <c r="A2542" t="s">
        <v>280</v>
      </c>
      <c r="B2542">
        <v>-80.365323567976517</v>
      </c>
      <c r="C2542" t="s">
        <v>33</v>
      </c>
      <c r="D2542" t="s">
        <v>27</v>
      </c>
      <c r="E2542" t="s">
        <v>15</v>
      </c>
      <c r="F2542" t="s">
        <v>28</v>
      </c>
      <c r="G2542" t="s">
        <v>281</v>
      </c>
      <c r="H2542" t="s">
        <v>282</v>
      </c>
    </row>
    <row r="2543" spans="1:8" x14ac:dyDescent="0.2">
      <c r="A2543" t="s">
        <v>60</v>
      </c>
      <c r="B2543">
        <v>48.583333333333329</v>
      </c>
      <c r="C2543" t="s">
        <v>26</v>
      </c>
      <c r="D2543" t="s">
        <v>27</v>
      </c>
      <c r="E2543" t="s">
        <v>15</v>
      </c>
      <c r="F2543" t="s">
        <v>28</v>
      </c>
      <c r="G2543" t="s">
        <v>54</v>
      </c>
      <c r="H2543" t="s">
        <v>34</v>
      </c>
    </row>
    <row r="2544" spans="1:8" x14ac:dyDescent="0.2">
      <c r="A2544" t="s">
        <v>276</v>
      </c>
      <c r="B2544">
        <v>-1285.6027020462129</v>
      </c>
      <c r="C2544" t="s">
        <v>33</v>
      </c>
      <c r="D2544" t="s">
        <v>27</v>
      </c>
      <c r="E2544" t="s">
        <v>15</v>
      </c>
      <c r="F2544" t="s">
        <v>28</v>
      </c>
      <c r="G2544" t="s">
        <v>277</v>
      </c>
      <c r="H2544" t="s">
        <v>25</v>
      </c>
    </row>
    <row r="2545" spans="1:8" x14ac:dyDescent="0.2">
      <c r="A2545" t="s">
        <v>501</v>
      </c>
      <c r="B2545">
        <v>-285.37490115266371</v>
      </c>
      <c r="C2545" t="s">
        <v>33</v>
      </c>
      <c r="D2545" t="s">
        <v>27</v>
      </c>
      <c r="E2545" t="s">
        <v>15</v>
      </c>
      <c r="F2545" t="s">
        <v>28</v>
      </c>
      <c r="G2545" t="s">
        <v>502</v>
      </c>
      <c r="H2545" t="s">
        <v>25</v>
      </c>
    </row>
    <row r="2546" spans="1:8" x14ac:dyDescent="0.2">
      <c r="A2546" t="s">
        <v>56</v>
      </c>
      <c r="B2546">
        <v>204.3644818084546</v>
      </c>
      <c r="C2546" t="s">
        <v>63</v>
      </c>
      <c r="D2546" t="s">
        <v>39</v>
      </c>
      <c r="E2546" t="s">
        <v>15</v>
      </c>
      <c r="F2546" t="s">
        <v>28</v>
      </c>
      <c r="G2546" t="s">
        <v>58</v>
      </c>
      <c r="H2546" t="s">
        <v>34</v>
      </c>
    </row>
    <row r="2547" spans="1:8" x14ac:dyDescent="0.2">
      <c r="A2547" t="s">
        <v>316</v>
      </c>
      <c r="B2547">
        <v>1</v>
      </c>
      <c r="C2547" t="s">
        <v>26</v>
      </c>
      <c r="D2547" t="s">
        <v>10</v>
      </c>
      <c r="E2547" t="s">
        <v>15</v>
      </c>
      <c r="F2547" t="s">
        <v>24</v>
      </c>
      <c r="G2547" t="s">
        <v>73</v>
      </c>
      <c r="H2547" t="s">
        <v>25</v>
      </c>
    </row>
    <row r="2550" spans="1:8" ht="16" x14ac:dyDescent="0.2">
      <c r="A2550" s="1" t="s">
        <v>4</v>
      </c>
      <c r="B2550" s="1" t="s">
        <v>373</v>
      </c>
    </row>
    <row r="2551" spans="1:8" x14ac:dyDescent="0.2">
      <c r="A2551" t="s">
        <v>5</v>
      </c>
      <c r="B2551" t="s">
        <v>26</v>
      </c>
    </row>
    <row r="2552" spans="1:8" x14ac:dyDescent="0.2">
      <c r="A2552" t="s">
        <v>6</v>
      </c>
      <c r="B2552">
        <v>1</v>
      </c>
    </row>
    <row r="2553" spans="1:8" x14ac:dyDescent="0.2">
      <c r="A2553" t="s">
        <v>7</v>
      </c>
      <c r="B2553" t="s">
        <v>71</v>
      </c>
    </row>
    <row r="2554" spans="1:8" x14ac:dyDescent="0.2">
      <c r="A2554" t="s">
        <v>8</v>
      </c>
      <c r="B2554" t="s">
        <v>9</v>
      </c>
    </row>
    <row r="2555" spans="1:8" x14ac:dyDescent="0.2">
      <c r="A2555" t="s">
        <v>10</v>
      </c>
      <c r="B2555" t="s">
        <v>10</v>
      </c>
    </row>
    <row r="2556" spans="1:8" x14ac:dyDescent="0.2">
      <c r="A2556" t="s">
        <v>11</v>
      </c>
      <c r="B2556" t="s">
        <v>12</v>
      </c>
    </row>
    <row r="2557" spans="1:8" x14ac:dyDescent="0.2">
      <c r="A2557" t="s">
        <v>13</v>
      </c>
      <c r="B2557" t="s">
        <v>291</v>
      </c>
    </row>
    <row r="2558" spans="1:8" x14ac:dyDescent="0.2">
      <c r="A2558" t="s">
        <v>14</v>
      </c>
      <c r="B2558" t="s">
        <v>271</v>
      </c>
    </row>
    <row r="2559" spans="1:8" x14ac:dyDescent="0.2">
      <c r="A2559" t="s">
        <v>16</v>
      </c>
      <c r="B2559" t="s">
        <v>15</v>
      </c>
    </row>
    <row r="2560" spans="1:8" x14ac:dyDescent="0.2">
      <c r="A2560" t="s">
        <v>17</v>
      </c>
      <c r="B2560" t="s">
        <v>162</v>
      </c>
    </row>
    <row r="2561" spans="1:8" ht="16" x14ac:dyDescent="0.2">
      <c r="A2561" s="1" t="s">
        <v>18</v>
      </c>
    </row>
    <row r="2562" spans="1:8" x14ac:dyDescent="0.2">
      <c r="A2562" t="s">
        <v>19</v>
      </c>
      <c r="B2562" t="s">
        <v>20</v>
      </c>
      <c r="C2562" t="s">
        <v>5</v>
      </c>
      <c r="D2562" t="s">
        <v>10</v>
      </c>
      <c r="E2562" t="s">
        <v>22</v>
      </c>
      <c r="F2562" t="s">
        <v>8</v>
      </c>
      <c r="G2562" t="s">
        <v>7</v>
      </c>
      <c r="H2562" t="s">
        <v>23</v>
      </c>
    </row>
    <row r="2563" spans="1:8" x14ac:dyDescent="0.2">
      <c r="A2563" t="s">
        <v>610</v>
      </c>
      <c r="B2563">
        <f>39.5</f>
        <v>39.5</v>
      </c>
      <c r="C2563" t="s">
        <v>33</v>
      </c>
      <c r="D2563" t="s">
        <v>39</v>
      </c>
      <c r="F2563" t="s">
        <v>28</v>
      </c>
      <c r="G2563" t="s">
        <v>611</v>
      </c>
      <c r="H2563" t="s">
        <v>34</v>
      </c>
    </row>
    <row r="2564" spans="1:8" x14ac:dyDescent="0.2">
      <c r="A2564" t="s">
        <v>61</v>
      </c>
      <c r="B2564">
        <v>143.18357164911129</v>
      </c>
      <c r="C2564" t="s">
        <v>33</v>
      </c>
      <c r="D2564" t="s">
        <v>27</v>
      </c>
      <c r="E2564" t="s">
        <v>15</v>
      </c>
      <c r="F2564" t="s">
        <v>28</v>
      </c>
      <c r="G2564" t="s">
        <v>61</v>
      </c>
      <c r="H2564" t="s">
        <v>62</v>
      </c>
    </row>
    <row r="2565" spans="1:8" x14ac:dyDescent="0.2">
      <c r="A2565" t="s">
        <v>283</v>
      </c>
      <c r="B2565">
        <v>5.9804347826086959</v>
      </c>
      <c r="C2565" t="s">
        <v>33</v>
      </c>
      <c r="D2565" t="s">
        <v>27</v>
      </c>
      <c r="E2565" t="s">
        <v>15</v>
      </c>
      <c r="F2565" t="s">
        <v>28</v>
      </c>
      <c r="G2565" t="s">
        <v>284</v>
      </c>
      <c r="H2565" t="s">
        <v>34</v>
      </c>
    </row>
    <row r="2566" spans="1:8" x14ac:dyDescent="0.2">
      <c r="A2566" t="s">
        <v>285</v>
      </c>
      <c r="B2566">
        <v>4.4853260869565217</v>
      </c>
      <c r="C2566" t="s">
        <v>33</v>
      </c>
      <c r="D2566" t="s">
        <v>27</v>
      </c>
      <c r="E2566" t="s">
        <v>15</v>
      </c>
      <c r="F2566" t="s">
        <v>28</v>
      </c>
      <c r="G2566" t="s">
        <v>286</v>
      </c>
      <c r="H2566" t="s">
        <v>34</v>
      </c>
    </row>
    <row r="2567" spans="1:8" x14ac:dyDescent="0.2">
      <c r="A2567" t="s">
        <v>278</v>
      </c>
      <c r="B2567">
        <v>43.996870837288412</v>
      </c>
      <c r="C2567" t="s">
        <v>33</v>
      </c>
      <c r="D2567" t="s">
        <v>27</v>
      </c>
      <c r="E2567" t="s">
        <v>15</v>
      </c>
      <c r="F2567" t="s">
        <v>28</v>
      </c>
      <c r="G2567" t="s">
        <v>279</v>
      </c>
      <c r="H2567" t="s">
        <v>275</v>
      </c>
    </row>
    <row r="2568" spans="1:8" x14ac:dyDescent="0.2">
      <c r="A2568" t="s">
        <v>272</v>
      </c>
      <c r="B2568">
        <v>1386.6198517598141</v>
      </c>
      <c r="C2568" t="s">
        <v>33</v>
      </c>
      <c r="D2568" t="s">
        <v>27</v>
      </c>
      <c r="E2568" t="s">
        <v>15</v>
      </c>
      <c r="F2568" t="s">
        <v>28</v>
      </c>
      <c r="G2568" t="s">
        <v>273</v>
      </c>
      <c r="H2568" t="s">
        <v>62</v>
      </c>
    </row>
    <row r="2569" spans="1:8" x14ac:dyDescent="0.2">
      <c r="A2569" t="s">
        <v>274</v>
      </c>
      <c r="B2569">
        <v>280.90680272065839</v>
      </c>
      <c r="C2569" t="s">
        <v>33</v>
      </c>
      <c r="D2569" t="s">
        <v>27</v>
      </c>
      <c r="E2569" t="s">
        <v>15</v>
      </c>
      <c r="F2569" t="s">
        <v>28</v>
      </c>
      <c r="G2569" t="s">
        <v>500</v>
      </c>
      <c r="H2569" t="s">
        <v>275</v>
      </c>
    </row>
    <row r="2570" spans="1:8" x14ac:dyDescent="0.2">
      <c r="A2570" t="s">
        <v>287</v>
      </c>
      <c r="B2570">
        <v>8.9706521739130434</v>
      </c>
      <c r="C2570" t="s">
        <v>33</v>
      </c>
      <c r="D2570" t="s">
        <v>27</v>
      </c>
      <c r="E2570" t="s">
        <v>15</v>
      </c>
      <c r="F2570" t="s">
        <v>28</v>
      </c>
      <c r="G2570" t="s">
        <v>288</v>
      </c>
      <c r="H2570" t="s">
        <v>34</v>
      </c>
    </row>
    <row r="2571" spans="1:8" x14ac:dyDescent="0.2">
      <c r="A2571" t="s">
        <v>289</v>
      </c>
      <c r="B2571">
        <v>3.9869565217391298</v>
      </c>
      <c r="C2571" t="s">
        <v>33</v>
      </c>
      <c r="D2571" t="s">
        <v>27</v>
      </c>
      <c r="E2571" t="s">
        <v>15</v>
      </c>
      <c r="F2571" t="s">
        <v>28</v>
      </c>
      <c r="G2571" t="s">
        <v>290</v>
      </c>
      <c r="H2571" t="s">
        <v>34</v>
      </c>
    </row>
    <row r="2572" spans="1:8" x14ac:dyDescent="0.2">
      <c r="A2572" t="s">
        <v>280</v>
      </c>
      <c r="B2572">
        <v>-67.420240402505797</v>
      </c>
      <c r="C2572" t="s">
        <v>33</v>
      </c>
      <c r="D2572" t="s">
        <v>27</v>
      </c>
      <c r="E2572" t="s">
        <v>15</v>
      </c>
      <c r="F2572" t="s">
        <v>28</v>
      </c>
      <c r="G2572" t="s">
        <v>281</v>
      </c>
      <c r="H2572" t="s">
        <v>282</v>
      </c>
    </row>
    <row r="2573" spans="1:8" x14ac:dyDescent="0.2">
      <c r="A2573" t="s">
        <v>60</v>
      </c>
      <c r="B2573">
        <v>43.245833333333323</v>
      </c>
      <c r="C2573" t="s">
        <v>26</v>
      </c>
      <c r="D2573" t="s">
        <v>27</v>
      </c>
      <c r="E2573" t="s">
        <v>15</v>
      </c>
      <c r="F2573" t="s">
        <v>28</v>
      </c>
      <c r="G2573" t="s">
        <v>54</v>
      </c>
      <c r="H2573" t="s">
        <v>34</v>
      </c>
    </row>
    <row r="2574" spans="1:8" x14ac:dyDescent="0.2">
      <c r="A2574" t="s">
        <v>276</v>
      </c>
      <c r="B2574">
        <v>-1286.682113444037</v>
      </c>
      <c r="C2574" t="s">
        <v>33</v>
      </c>
      <c r="D2574" t="s">
        <v>27</v>
      </c>
      <c r="E2574" t="s">
        <v>15</v>
      </c>
      <c r="F2574" t="s">
        <v>28</v>
      </c>
      <c r="G2574" t="s">
        <v>277</v>
      </c>
      <c r="H2574" t="s">
        <v>25</v>
      </c>
    </row>
    <row r="2575" spans="1:8" x14ac:dyDescent="0.2">
      <c r="A2575" t="s">
        <v>501</v>
      </c>
      <c r="B2575">
        <v>-280.90680272065839</v>
      </c>
      <c r="C2575" t="s">
        <v>33</v>
      </c>
      <c r="D2575" t="s">
        <v>27</v>
      </c>
      <c r="E2575" t="s">
        <v>15</v>
      </c>
      <c r="F2575" t="s">
        <v>28</v>
      </c>
      <c r="G2575" t="s">
        <v>502</v>
      </c>
      <c r="H2575" t="s">
        <v>25</v>
      </c>
    </row>
    <row r="2576" spans="1:8" x14ac:dyDescent="0.2">
      <c r="A2576" t="s">
        <v>56</v>
      </c>
      <c r="B2576">
        <v>237.295275011255</v>
      </c>
      <c r="C2576" t="s">
        <v>63</v>
      </c>
      <c r="D2576" t="s">
        <v>39</v>
      </c>
      <c r="E2576" t="s">
        <v>15</v>
      </c>
      <c r="F2576" t="s">
        <v>28</v>
      </c>
      <c r="G2576" t="s">
        <v>58</v>
      </c>
      <c r="H2576" t="s">
        <v>34</v>
      </c>
    </row>
    <row r="2577" spans="1:8" x14ac:dyDescent="0.2">
      <c r="A2577" t="s">
        <v>373</v>
      </c>
      <c r="B2577">
        <v>1</v>
      </c>
      <c r="C2577" t="s">
        <v>26</v>
      </c>
      <c r="D2577" t="s">
        <v>10</v>
      </c>
      <c r="E2577" t="s">
        <v>15</v>
      </c>
      <c r="F2577" t="s">
        <v>24</v>
      </c>
      <c r="G2577" t="s">
        <v>71</v>
      </c>
      <c r="H2577" t="s">
        <v>25</v>
      </c>
    </row>
    <row r="2579" spans="1:8" ht="16" x14ac:dyDescent="0.2">
      <c r="A2579" s="1" t="s">
        <v>4</v>
      </c>
      <c r="B2579" s="1" t="s">
        <v>317</v>
      </c>
    </row>
    <row r="2580" spans="1:8" x14ac:dyDescent="0.2">
      <c r="A2580" t="s">
        <v>5</v>
      </c>
      <c r="B2580" t="s">
        <v>26</v>
      </c>
    </row>
    <row r="2581" spans="1:8" x14ac:dyDescent="0.2">
      <c r="A2581" t="s">
        <v>6</v>
      </c>
      <c r="B2581">
        <v>1</v>
      </c>
    </row>
    <row r="2582" spans="1:8" x14ac:dyDescent="0.2">
      <c r="A2582" t="s">
        <v>7</v>
      </c>
      <c r="B2582" t="s">
        <v>73</v>
      </c>
    </row>
    <row r="2583" spans="1:8" x14ac:dyDescent="0.2">
      <c r="A2583" t="s">
        <v>8</v>
      </c>
      <c r="B2583" t="s">
        <v>9</v>
      </c>
    </row>
    <row r="2584" spans="1:8" x14ac:dyDescent="0.2">
      <c r="A2584" t="s">
        <v>10</v>
      </c>
      <c r="B2584" t="s">
        <v>10</v>
      </c>
    </row>
    <row r="2585" spans="1:8" x14ac:dyDescent="0.2">
      <c r="A2585" t="s">
        <v>11</v>
      </c>
      <c r="B2585" t="s">
        <v>12</v>
      </c>
    </row>
    <row r="2586" spans="1:8" x14ac:dyDescent="0.2">
      <c r="A2586" t="s">
        <v>13</v>
      </c>
      <c r="B2586" t="s">
        <v>291</v>
      </c>
    </row>
    <row r="2587" spans="1:8" x14ac:dyDescent="0.2">
      <c r="A2587" t="s">
        <v>14</v>
      </c>
      <c r="B2587" t="s">
        <v>271</v>
      </c>
    </row>
    <row r="2588" spans="1:8" x14ac:dyDescent="0.2">
      <c r="A2588" t="s">
        <v>16</v>
      </c>
      <c r="B2588" t="s">
        <v>15</v>
      </c>
    </row>
    <row r="2589" spans="1:8" x14ac:dyDescent="0.2">
      <c r="A2589" t="s">
        <v>17</v>
      </c>
      <c r="B2589" t="s">
        <v>163</v>
      </c>
    </row>
    <row r="2590" spans="1:8" ht="16" x14ac:dyDescent="0.2">
      <c r="A2590" s="1" t="s">
        <v>18</v>
      </c>
    </row>
    <row r="2591" spans="1:8" x14ac:dyDescent="0.2">
      <c r="A2591" t="s">
        <v>19</v>
      </c>
      <c r="B2591" t="s">
        <v>20</v>
      </c>
      <c r="C2591" t="s">
        <v>5</v>
      </c>
      <c r="D2591" t="s">
        <v>10</v>
      </c>
      <c r="E2591" t="s">
        <v>22</v>
      </c>
      <c r="F2591" t="s">
        <v>8</v>
      </c>
      <c r="G2591" t="s">
        <v>7</v>
      </c>
      <c r="H2591" t="s">
        <v>23</v>
      </c>
    </row>
    <row r="2592" spans="1:8" x14ac:dyDescent="0.2">
      <c r="A2592" t="s">
        <v>610</v>
      </c>
      <c r="B2592">
        <f>51.1</f>
        <v>51.1</v>
      </c>
      <c r="C2592" t="s">
        <v>33</v>
      </c>
      <c r="D2592" t="s">
        <v>39</v>
      </c>
      <c r="F2592" t="s">
        <v>28</v>
      </c>
      <c r="G2592" t="s">
        <v>611</v>
      </c>
      <c r="H2592" t="s">
        <v>34</v>
      </c>
    </row>
    <row r="2593" spans="1:8" x14ac:dyDescent="0.2">
      <c r="A2593" t="s">
        <v>61</v>
      </c>
      <c r="B2593">
        <v>147.47919481005141</v>
      </c>
      <c r="C2593" t="s">
        <v>33</v>
      </c>
      <c r="D2593" t="s">
        <v>27</v>
      </c>
      <c r="E2593" t="s">
        <v>15</v>
      </c>
      <c r="F2593" t="s">
        <v>28</v>
      </c>
      <c r="G2593" t="s">
        <v>61</v>
      </c>
      <c r="H2593" t="s">
        <v>62</v>
      </c>
    </row>
    <row r="2594" spans="1:8" x14ac:dyDescent="0.2">
      <c r="A2594" t="s">
        <v>283</v>
      </c>
      <c r="B2594">
        <v>5.9608695652173918</v>
      </c>
      <c r="C2594" t="s">
        <v>33</v>
      </c>
      <c r="D2594" t="s">
        <v>27</v>
      </c>
      <c r="E2594" t="s">
        <v>15</v>
      </c>
      <c r="F2594" t="s">
        <v>28</v>
      </c>
      <c r="G2594" t="s">
        <v>284</v>
      </c>
      <c r="H2594" t="s">
        <v>34</v>
      </c>
    </row>
    <row r="2595" spans="1:8" x14ac:dyDescent="0.2">
      <c r="A2595" t="s">
        <v>285</v>
      </c>
      <c r="B2595">
        <v>4.4706521739130434</v>
      </c>
      <c r="C2595" t="s">
        <v>33</v>
      </c>
      <c r="D2595" t="s">
        <v>27</v>
      </c>
      <c r="E2595" t="s">
        <v>15</v>
      </c>
      <c r="F2595" t="s">
        <v>28</v>
      </c>
      <c r="G2595" t="s">
        <v>286</v>
      </c>
      <c r="H2595" t="s">
        <v>34</v>
      </c>
    </row>
    <row r="2596" spans="1:8" x14ac:dyDescent="0.2">
      <c r="A2596" t="s">
        <v>278</v>
      </c>
      <c r="B2596">
        <v>57.018584437541733</v>
      </c>
      <c r="C2596" t="s">
        <v>33</v>
      </c>
      <c r="D2596" t="s">
        <v>27</v>
      </c>
      <c r="E2596" t="s">
        <v>15</v>
      </c>
      <c r="F2596" t="s">
        <v>28</v>
      </c>
      <c r="G2596" t="s">
        <v>279</v>
      </c>
      <c r="H2596" t="s">
        <v>275</v>
      </c>
    </row>
    <row r="2597" spans="1:8" x14ac:dyDescent="0.2">
      <c r="A2597" t="s">
        <v>272</v>
      </c>
      <c r="B2597">
        <v>1384.4985635229309</v>
      </c>
      <c r="C2597" t="s">
        <v>33</v>
      </c>
      <c r="D2597" t="s">
        <v>27</v>
      </c>
      <c r="E2597" t="s">
        <v>15</v>
      </c>
      <c r="F2597" t="s">
        <v>28</v>
      </c>
      <c r="G2597" t="s">
        <v>273</v>
      </c>
      <c r="H2597" t="s">
        <v>62</v>
      </c>
    </row>
    <row r="2598" spans="1:8" x14ac:dyDescent="0.2">
      <c r="A2598" t="s">
        <v>274</v>
      </c>
      <c r="B2598">
        <v>268.08793239126629</v>
      </c>
      <c r="C2598" t="s">
        <v>33</v>
      </c>
      <c r="D2598" t="s">
        <v>27</v>
      </c>
      <c r="E2598" t="s">
        <v>15</v>
      </c>
      <c r="F2598" t="s">
        <v>28</v>
      </c>
      <c r="G2598" t="s">
        <v>500</v>
      </c>
      <c r="H2598" t="s">
        <v>275</v>
      </c>
    </row>
    <row r="2599" spans="1:8" x14ac:dyDescent="0.2">
      <c r="A2599" t="s">
        <v>287</v>
      </c>
      <c r="B2599">
        <v>8.9413043478260867</v>
      </c>
      <c r="C2599" t="s">
        <v>33</v>
      </c>
      <c r="D2599" t="s">
        <v>27</v>
      </c>
      <c r="E2599" t="s">
        <v>15</v>
      </c>
      <c r="F2599" t="s">
        <v>28</v>
      </c>
      <c r="G2599" t="s">
        <v>288</v>
      </c>
      <c r="H2599" t="s">
        <v>34</v>
      </c>
    </row>
    <row r="2600" spans="1:8" x14ac:dyDescent="0.2">
      <c r="A2600" t="s">
        <v>289</v>
      </c>
      <c r="B2600">
        <v>3.973913043478261</v>
      </c>
      <c r="C2600" t="s">
        <v>33</v>
      </c>
      <c r="D2600" t="s">
        <v>27</v>
      </c>
      <c r="E2600" t="s">
        <v>15</v>
      </c>
      <c r="F2600" t="s">
        <v>28</v>
      </c>
      <c r="G2600" t="s">
        <v>290</v>
      </c>
      <c r="H2600" t="s">
        <v>34</v>
      </c>
    </row>
    <row r="2601" spans="1:8" x14ac:dyDescent="0.2">
      <c r="A2601" t="s">
        <v>280</v>
      </c>
      <c r="B2601">
        <v>-80.365323567976517</v>
      </c>
      <c r="C2601" t="s">
        <v>33</v>
      </c>
      <c r="D2601" t="s">
        <v>27</v>
      </c>
      <c r="E2601" t="s">
        <v>15</v>
      </c>
      <c r="F2601" t="s">
        <v>28</v>
      </c>
      <c r="G2601" t="s">
        <v>281</v>
      </c>
      <c r="H2601" t="s">
        <v>282</v>
      </c>
    </row>
    <row r="2602" spans="1:8" x14ac:dyDescent="0.2">
      <c r="A2602" t="s">
        <v>60</v>
      </c>
      <c r="B2602">
        <v>49.041666666666657</v>
      </c>
      <c r="C2602" t="s">
        <v>26</v>
      </c>
      <c r="D2602" t="s">
        <v>27</v>
      </c>
      <c r="E2602" t="s">
        <v>15</v>
      </c>
      <c r="F2602" t="s">
        <v>28</v>
      </c>
      <c r="G2602" t="s">
        <v>54</v>
      </c>
      <c r="H2602" t="s">
        <v>34</v>
      </c>
    </row>
    <row r="2603" spans="1:8" x14ac:dyDescent="0.2">
      <c r="A2603" t="s">
        <v>276</v>
      </c>
      <c r="B2603">
        <v>-1286.061035379546</v>
      </c>
      <c r="C2603" t="s">
        <v>33</v>
      </c>
      <c r="D2603" t="s">
        <v>27</v>
      </c>
      <c r="E2603" t="s">
        <v>15</v>
      </c>
      <c r="F2603" t="s">
        <v>28</v>
      </c>
      <c r="G2603" t="s">
        <v>277</v>
      </c>
      <c r="H2603" t="s">
        <v>25</v>
      </c>
    </row>
    <row r="2604" spans="1:8" x14ac:dyDescent="0.2">
      <c r="A2604" t="s">
        <v>501</v>
      </c>
      <c r="B2604">
        <v>-268.08793239126629</v>
      </c>
      <c r="C2604" t="s">
        <v>33</v>
      </c>
      <c r="D2604" t="s">
        <v>27</v>
      </c>
      <c r="E2604" t="s">
        <v>15</v>
      </c>
      <c r="F2604" t="s">
        <v>28</v>
      </c>
      <c r="G2604" t="s">
        <v>502</v>
      </c>
      <c r="H2604" t="s">
        <v>25</v>
      </c>
    </row>
    <row r="2605" spans="1:8" x14ac:dyDescent="0.2">
      <c r="A2605" t="s">
        <v>56</v>
      </c>
      <c r="B2605">
        <v>204.3644818084546</v>
      </c>
      <c r="C2605" t="s">
        <v>63</v>
      </c>
      <c r="D2605" t="s">
        <v>39</v>
      </c>
      <c r="E2605" t="s">
        <v>15</v>
      </c>
      <c r="F2605" t="s">
        <v>28</v>
      </c>
      <c r="G2605" t="s">
        <v>58</v>
      </c>
      <c r="H2605" t="s">
        <v>34</v>
      </c>
    </row>
    <row r="2606" spans="1:8" x14ac:dyDescent="0.2">
      <c r="A2606" t="s">
        <v>317</v>
      </c>
      <c r="B2606">
        <v>1</v>
      </c>
      <c r="C2606" t="s">
        <v>26</v>
      </c>
      <c r="D2606" t="s">
        <v>10</v>
      </c>
      <c r="E2606" t="s">
        <v>15</v>
      </c>
      <c r="F2606" t="s">
        <v>24</v>
      </c>
      <c r="G2606" t="s">
        <v>73</v>
      </c>
      <c r="H2606" t="s">
        <v>25</v>
      </c>
    </row>
    <row r="2608" spans="1:8" ht="16" x14ac:dyDescent="0.2">
      <c r="A2608" s="1" t="s">
        <v>4</v>
      </c>
      <c r="B2608" s="1" t="s">
        <v>479</v>
      </c>
    </row>
    <row r="2609" spans="1:8" x14ac:dyDescent="0.2">
      <c r="A2609" t="s">
        <v>5</v>
      </c>
      <c r="B2609" t="s">
        <v>26</v>
      </c>
    </row>
    <row r="2610" spans="1:8" x14ac:dyDescent="0.2">
      <c r="A2610" t="s">
        <v>6</v>
      </c>
      <c r="B2610">
        <v>1</v>
      </c>
    </row>
    <row r="2611" spans="1:8" x14ac:dyDescent="0.2">
      <c r="A2611" t="s">
        <v>7</v>
      </c>
      <c r="B2611" t="s">
        <v>88</v>
      </c>
    </row>
    <row r="2612" spans="1:8" x14ac:dyDescent="0.2">
      <c r="A2612" t="s">
        <v>8</v>
      </c>
      <c r="B2612" t="s">
        <v>9</v>
      </c>
    </row>
    <row r="2613" spans="1:8" x14ac:dyDescent="0.2">
      <c r="A2613" t="s">
        <v>10</v>
      </c>
      <c r="B2613" t="s">
        <v>10</v>
      </c>
    </row>
    <row r="2614" spans="1:8" x14ac:dyDescent="0.2">
      <c r="A2614" t="s">
        <v>11</v>
      </c>
      <c r="B2614" t="s">
        <v>12</v>
      </c>
    </row>
    <row r="2615" spans="1:8" x14ac:dyDescent="0.2">
      <c r="A2615" t="s">
        <v>13</v>
      </c>
      <c r="B2615" t="s">
        <v>291</v>
      </c>
    </row>
    <row r="2616" spans="1:8" x14ac:dyDescent="0.2">
      <c r="A2616" t="s">
        <v>14</v>
      </c>
      <c r="B2616" t="s">
        <v>271</v>
      </c>
    </row>
    <row r="2617" spans="1:8" x14ac:dyDescent="0.2">
      <c r="A2617" t="s">
        <v>16</v>
      </c>
      <c r="B2617" t="s">
        <v>15</v>
      </c>
    </row>
    <row r="2618" spans="1:8" x14ac:dyDescent="0.2">
      <c r="A2618" t="s">
        <v>17</v>
      </c>
      <c r="B2618" t="s">
        <v>164</v>
      </c>
    </row>
    <row r="2619" spans="1:8" ht="16" x14ac:dyDescent="0.2">
      <c r="A2619" s="1" t="s">
        <v>18</v>
      </c>
    </row>
    <row r="2620" spans="1:8" x14ac:dyDescent="0.2">
      <c r="A2620" t="s">
        <v>19</v>
      </c>
      <c r="B2620" t="s">
        <v>20</v>
      </c>
      <c r="C2620" t="s">
        <v>5</v>
      </c>
      <c r="D2620" t="s">
        <v>10</v>
      </c>
      <c r="E2620" t="s">
        <v>22</v>
      </c>
      <c r="F2620" t="s">
        <v>8</v>
      </c>
      <c r="G2620" t="s">
        <v>7</v>
      </c>
      <c r="H2620" t="s">
        <v>23</v>
      </c>
    </row>
    <row r="2621" spans="1:8" x14ac:dyDescent="0.2">
      <c r="A2621" t="s">
        <v>610</v>
      </c>
      <c r="B2621">
        <f>28.1</f>
        <v>28.1</v>
      </c>
      <c r="C2621" t="s">
        <v>33</v>
      </c>
      <c r="D2621" t="s">
        <v>39</v>
      </c>
      <c r="F2621" t="s">
        <v>28</v>
      </c>
      <c r="G2621" t="s">
        <v>611</v>
      </c>
      <c r="H2621" t="s">
        <v>34</v>
      </c>
    </row>
    <row r="2622" spans="1:8" x14ac:dyDescent="0.2">
      <c r="A2622" t="s">
        <v>484</v>
      </c>
      <c r="B2622">
        <v>97.826086956521721</v>
      </c>
      <c r="C2622" t="s">
        <v>26</v>
      </c>
      <c r="D2622" t="s">
        <v>27</v>
      </c>
      <c r="E2622" t="s">
        <v>15</v>
      </c>
      <c r="F2622" t="s">
        <v>28</v>
      </c>
      <c r="G2622" t="s">
        <v>485</v>
      </c>
      <c r="H2622" t="s">
        <v>34</v>
      </c>
    </row>
    <row r="2623" spans="1:8" x14ac:dyDescent="0.2">
      <c r="A2623" t="s">
        <v>61</v>
      </c>
      <c r="B2623">
        <v>143.804347826087</v>
      </c>
      <c r="C2623" t="s">
        <v>33</v>
      </c>
      <c r="D2623" t="s">
        <v>27</v>
      </c>
      <c r="E2623" t="s">
        <v>15</v>
      </c>
      <c r="F2623" t="s">
        <v>28</v>
      </c>
      <c r="G2623" t="s">
        <v>61</v>
      </c>
      <c r="H2623" t="s">
        <v>62</v>
      </c>
    </row>
    <row r="2624" spans="1:8" ht="16" x14ac:dyDescent="0.2">
      <c r="A2624" s="2" t="s">
        <v>503</v>
      </c>
      <c r="B2624">
        <v>26.5</v>
      </c>
      <c r="C2624" t="s">
        <v>505</v>
      </c>
      <c r="D2624" t="s">
        <v>10</v>
      </c>
      <c r="E2624" t="s">
        <v>15</v>
      </c>
      <c r="F2624" t="s">
        <v>28</v>
      </c>
      <c r="G2624" t="s">
        <v>504</v>
      </c>
      <c r="H2624" t="s">
        <v>34</v>
      </c>
    </row>
    <row r="2625" spans="1:8" x14ac:dyDescent="0.2">
      <c r="A2625" t="s">
        <v>285</v>
      </c>
      <c r="B2625">
        <v>4.4706521739130434</v>
      </c>
      <c r="C2625" t="s">
        <v>33</v>
      </c>
      <c r="D2625" t="s">
        <v>27</v>
      </c>
      <c r="E2625" t="s">
        <v>15</v>
      </c>
      <c r="F2625" t="s">
        <v>28</v>
      </c>
      <c r="G2625" t="s">
        <v>286</v>
      </c>
      <c r="H2625" t="s">
        <v>34</v>
      </c>
    </row>
    <row r="2626" spans="1:8" x14ac:dyDescent="0.2">
      <c r="A2626" t="s">
        <v>278</v>
      </c>
      <c r="B2626">
        <v>88.93071971170275</v>
      </c>
      <c r="C2626" t="s">
        <v>33</v>
      </c>
      <c r="D2626" t="s">
        <v>27</v>
      </c>
      <c r="E2626" t="s">
        <v>15</v>
      </c>
      <c r="F2626" t="s">
        <v>28</v>
      </c>
      <c r="G2626" t="s">
        <v>279</v>
      </c>
      <c r="H2626" t="s">
        <v>275</v>
      </c>
    </row>
    <row r="2627" spans="1:8" x14ac:dyDescent="0.2">
      <c r="A2627" t="s">
        <v>272</v>
      </c>
      <c r="B2627">
        <v>1350</v>
      </c>
      <c r="C2627" t="s">
        <v>33</v>
      </c>
      <c r="D2627" t="s">
        <v>27</v>
      </c>
      <c r="E2627" t="s">
        <v>15</v>
      </c>
      <c r="F2627" t="s">
        <v>28</v>
      </c>
      <c r="G2627" t="s">
        <v>273</v>
      </c>
      <c r="H2627" t="s">
        <v>62</v>
      </c>
    </row>
    <row r="2628" spans="1:8" x14ac:dyDescent="0.2">
      <c r="A2628" t="s">
        <v>274</v>
      </c>
      <c r="B2628">
        <v>89.106538026430741</v>
      </c>
      <c r="C2628" t="s">
        <v>33</v>
      </c>
      <c r="D2628" t="s">
        <v>27</v>
      </c>
      <c r="E2628" t="s">
        <v>15</v>
      </c>
      <c r="F2628" t="s">
        <v>28</v>
      </c>
      <c r="G2628" t="s">
        <v>500</v>
      </c>
      <c r="H2628" t="s">
        <v>275</v>
      </c>
    </row>
    <row r="2629" spans="1:8" x14ac:dyDescent="0.2">
      <c r="A2629" t="s">
        <v>287</v>
      </c>
      <c r="B2629">
        <v>8.9413043478260867</v>
      </c>
      <c r="C2629" t="s">
        <v>33</v>
      </c>
      <c r="D2629" t="s">
        <v>27</v>
      </c>
      <c r="E2629" t="s">
        <v>15</v>
      </c>
      <c r="F2629" t="s">
        <v>28</v>
      </c>
      <c r="G2629" t="s">
        <v>288</v>
      </c>
      <c r="H2629" t="s">
        <v>34</v>
      </c>
    </row>
    <row r="2630" spans="1:8" x14ac:dyDescent="0.2">
      <c r="A2630" t="s">
        <v>289</v>
      </c>
      <c r="B2630">
        <v>3.973913043478261</v>
      </c>
      <c r="C2630" t="s">
        <v>33</v>
      </c>
      <c r="D2630" t="s">
        <v>27</v>
      </c>
      <c r="E2630" t="s">
        <v>15</v>
      </c>
      <c r="F2630" t="s">
        <v>28</v>
      </c>
      <c r="G2630" t="s">
        <v>290</v>
      </c>
      <c r="H2630" t="s">
        <v>34</v>
      </c>
    </row>
    <row r="2631" spans="1:8" x14ac:dyDescent="0.2">
      <c r="A2631" t="s">
        <v>280</v>
      </c>
      <c r="B2631">
        <v>-321.12247701350168</v>
      </c>
      <c r="C2631" t="s">
        <v>33</v>
      </c>
      <c r="D2631" t="s">
        <v>27</v>
      </c>
      <c r="E2631" t="s">
        <v>15</v>
      </c>
      <c r="F2631" t="s">
        <v>28</v>
      </c>
      <c r="G2631" t="s">
        <v>281</v>
      </c>
      <c r="H2631" t="s">
        <v>282</v>
      </c>
    </row>
    <row r="2632" spans="1:8" x14ac:dyDescent="0.2">
      <c r="A2632" t="s">
        <v>276</v>
      </c>
      <c r="B2632">
        <v>-1304.021739130435</v>
      </c>
      <c r="C2632" t="s">
        <v>33</v>
      </c>
      <c r="D2632" t="s">
        <v>27</v>
      </c>
      <c r="E2632" t="s">
        <v>15</v>
      </c>
      <c r="F2632" t="s">
        <v>28</v>
      </c>
      <c r="G2632" t="s">
        <v>277</v>
      </c>
      <c r="H2632" t="s">
        <v>25</v>
      </c>
    </row>
    <row r="2633" spans="1:8" x14ac:dyDescent="0.2">
      <c r="A2633" t="s">
        <v>501</v>
      </c>
      <c r="B2633">
        <v>-89.106538026430741</v>
      </c>
      <c r="C2633" t="s">
        <v>33</v>
      </c>
      <c r="D2633" t="s">
        <v>27</v>
      </c>
      <c r="E2633" t="s">
        <v>15</v>
      </c>
      <c r="F2633" t="s">
        <v>28</v>
      </c>
      <c r="G2633" t="s">
        <v>502</v>
      </c>
      <c r="H2633" t="s">
        <v>25</v>
      </c>
    </row>
    <row r="2634" spans="1:8" x14ac:dyDescent="0.2">
      <c r="A2634" t="s">
        <v>56</v>
      </c>
      <c r="B2634">
        <v>112.36217261342949</v>
      </c>
      <c r="C2634" t="s">
        <v>63</v>
      </c>
      <c r="D2634" t="s">
        <v>39</v>
      </c>
      <c r="E2634" t="s">
        <v>15</v>
      </c>
      <c r="F2634" t="s">
        <v>28</v>
      </c>
      <c r="G2634" t="s">
        <v>58</v>
      </c>
      <c r="H2634" t="s">
        <v>34</v>
      </c>
    </row>
    <row r="2635" spans="1:8" x14ac:dyDescent="0.2">
      <c r="A2635" t="s">
        <v>479</v>
      </c>
      <c r="B2635">
        <v>1</v>
      </c>
      <c r="C2635" t="s">
        <v>26</v>
      </c>
      <c r="D2635" t="s">
        <v>10</v>
      </c>
      <c r="E2635" t="s">
        <v>15</v>
      </c>
      <c r="F2635" t="s">
        <v>24</v>
      </c>
      <c r="G2635" t="s">
        <v>88</v>
      </c>
      <c r="H2635" t="s">
        <v>25</v>
      </c>
    </row>
    <row r="2638" spans="1:8" ht="16" x14ac:dyDescent="0.2">
      <c r="A2638" s="1" t="s">
        <v>4</v>
      </c>
      <c r="B2638" s="1" t="s">
        <v>491</v>
      </c>
    </row>
    <row r="2639" spans="1:8" x14ac:dyDescent="0.2">
      <c r="A2639" t="s">
        <v>5</v>
      </c>
      <c r="B2639" t="s">
        <v>26</v>
      </c>
    </row>
    <row r="2640" spans="1:8" x14ac:dyDescent="0.2">
      <c r="A2640" t="s">
        <v>6</v>
      </c>
      <c r="B2640">
        <v>1</v>
      </c>
    </row>
    <row r="2641" spans="1:8" x14ac:dyDescent="0.2">
      <c r="A2641" t="s">
        <v>7</v>
      </c>
      <c r="B2641" t="s">
        <v>88</v>
      </c>
    </row>
    <row r="2642" spans="1:8" x14ac:dyDescent="0.2">
      <c r="A2642" t="s">
        <v>8</v>
      </c>
      <c r="B2642" t="s">
        <v>9</v>
      </c>
    </row>
    <row r="2643" spans="1:8" x14ac:dyDescent="0.2">
      <c r="A2643" t="s">
        <v>10</v>
      </c>
      <c r="B2643" t="s">
        <v>10</v>
      </c>
    </row>
    <row r="2644" spans="1:8" x14ac:dyDescent="0.2">
      <c r="A2644" t="s">
        <v>11</v>
      </c>
      <c r="B2644" t="s">
        <v>12</v>
      </c>
    </row>
    <row r="2645" spans="1:8" x14ac:dyDescent="0.2">
      <c r="A2645" t="s">
        <v>13</v>
      </c>
      <c r="B2645" t="s">
        <v>291</v>
      </c>
    </row>
    <row r="2646" spans="1:8" x14ac:dyDescent="0.2">
      <c r="A2646" t="s">
        <v>14</v>
      </c>
      <c r="B2646" t="s">
        <v>271</v>
      </c>
    </row>
    <row r="2647" spans="1:8" x14ac:dyDescent="0.2">
      <c r="A2647" t="s">
        <v>16</v>
      </c>
      <c r="B2647" t="s">
        <v>15</v>
      </c>
    </row>
    <row r="2648" spans="1:8" x14ac:dyDescent="0.2">
      <c r="A2648" t="s">
        <v>17</v>
      </c>
      <c r="B2648" t="s">
        <v>165</v>
      </c>
    </row>
    <row r="2649" spans="1:8" ht="16" x14ac:dyDescent="0.2">
      <c r="A2649" s="1" t="s">
        <v>18</v>
      </c>
    </row>
    <row r="2650" spans="1:8" x14ac:dyDescent="0.2">
      <c r="A2650" t="s">
        <v>19</v>
      </c>
      <c r="B2650" t="s">
        <v>20</v>
      </c>
      <c r="C2650" t="s">
        <v>5</v>
      </c>
      <c r="D2650" t="s">
        <v>10</v>
      </c>
      <c r="E2650" t="s">
        <v>22</v>
      </c>
      <c r="F2650" t="s">
        <v>8</v>
      </c>
      <c r="G2650" t="s">
        <v>7</v>
      </c>
      <c r="H2650" t="s">
        <v>23</v>
      </c>
    </row>
    <row r="2651" spans="1:8" x14ac:dyDescent="0.2">
      <c r="A2651" t="s">
        <v>610</v>
      </c>
      <c r="B2651">
        <v>48</v>
      </c>
      <c r="C2651" t="s">
        <v>33</v>
      </c>
      <c r="D2651" t="s">
        <v>39</v>
      </c>
      <c r="F2651" t="s">
        <v>28</v>
      </c>
      <c r="G2651" t="s">
        <v>611</v>
      </c>
      <c r="H2651" t="s">
        <v>34</v>
      </c>
    </row>
    <row r="2652" spans="1:8" x14ac:dyDescent="0.2">
      <c r="A2652" t="s">
        <v>61</v>
      </c>
      <c r="B2652">
        <v>189</v>
      </c>
      <c r="C2652" t="s">
        <v>33</v>
      </c>
      <c r="D2652" t="s">
        <v>27</v>
      </c>
      <c r="E2652" t="s">
        <v>15</v>
      </c>
      <c r="F2652" t="s">
        <v>28</v>
      </c>
      <c r="G2652" t="s">
        <v>61</v>
      </c>
      <c r="H2652" t="s">
        <v>62</v>
      </c>
    </row>
    <row r="2653" spans="1:8" x14ac:dyDescent="0.2">
      <c r="A2653" t="s">
        <v>283</v>
      </c>
      <c r="B2653">
        <v>5.9608695652173918</v>
      </c>
      <c r="C2653" t="s">
        <v>33</v>
      </c>
      <c r="D2653" t="s">
        <v>27</v>
      </c>
      <c r="E2653" t="s">
        <v>15</v>
      </c>
      <c r="F2653" t="s">
        <v>28</v>
      </c>
      <c r="G2653" t="s">
        <v>284</v>
      </c>
      <c r="H2653" t="s">
        <v>34</v>
      </c>
    </row>
    <row r="2654" spans="1:8" x14ac:dyDescent="0.2">
      <c r="A2654" t="s">
        <v>285</v>
      </c>
      <c r="B2654">
        <v>4.4706521739130434</v>
      </c>
      <c r="C2654" t="s">
        <v>33</v>
      </c>
      <c r="D2654" t="s">
        <v>27</v>
      </c>
      <c r="E2654" t="s">
        <v>15</v>
      </c>
      <c r="F2654" t="s">
        <v>28</v>
      </c>
      <c r="G2654" t="s">
        <v>286</v>
      </c>
      <c r="H2654" t="s">
        <v>34</v>
      </c>
    </row>
    <row r="2655" spans="1:8" x14ac:dyDescent="0.2">
      <c r="A2655" t="s">
        <v>278</v>
      </c>
      <c r="B2655">
        <v>89.912822878205546</v>
      </c>
      <c r="C2655" t="s">
        <v>33</v>
      </c>
      <c r="D2655" t="s">
        <v>27</v>
      </c>
      <c r="E2655" t="s">
        <v>15</v>
      </c>
      <c r="F2655" t="s">
        <v>28</v>
      </c>
      <c r="G2655" t="s">
        <v>279</v>
      </c>
      <c r="H2655" t="s">
        <v>275</v>
      </c>
    </row>
    <row r="2656" spans="1:8" x14ac:dyDescent="0.2">
      <c r="A2656" t="s">
        <v>272</v>
      </c>
      <c r="B2656">
        <v>1350</v>
      </c>
      <c r="C2656" t="s">
        <v>33</v>
      </c>
      <c r="D2656" t="s">
        <v>27</v>
      </c>
      <c r="E2656" t="s">
        <v>15</v>
      </c>
      <c r="F2656" t="s">
        <v>28</v>
      </c>
      <c r="G2656" t="s">
        <v>273</v>
      </c>
      <c r="H2656" t="s">
        <v>62</v>
      </c>
    </row>
    <row r="2657" spans="1:8" x14ac:dyDescent="0.2">
      <c r="A2657" t="s">
        <v>274</v>
      </c>
      <c r="B2657">
        <v>89.879410518330758</v>
      </c>
      <c r="C2657" t="s">
        <v>33</v>
      </c>
      <c r="D2657" t="s">
        <v>27</v>
      </c>
      <c r="E2657" t="s">
        <v>15</v>
      </c>
      <c r="F2657" t="s">
        <v>28</v>
      </c>
      <c r="G2657" t="s">
        <v>500</v>
      </c>
      <c r="H2657" t="s">
        <v>275</v>
      </c>
    </row>
    <row r="2658" spans="1:8" x14ac:dyDescent="0.2">
      <c r="A2658" t="s">
        <v>287</v>
      </c>
      <c r="B2658">
        <v>8.9413043478260867</v>
      </c>
      <c r="C2658" t="s">
        <v>33</v>
      </c>
      <c r="D2658" t="s">
        <v>27</v>
      </c>
      <c r="E2658" t="s">
        <v>15</v>
      </c>
      <c r="F2658" t="s">
        <v>28</v>
      </c>
      <c r="G2658" t="s">
        <v>288</v>
      </c>
      <c r="H2658" t="s">
        <v>34</v>
      </c>
    </row>
    <row r="2659" spans="1:8" x14ac:dyDescent="0.2">
      <c r="A2659" t="s">
        <v>289</v>
      </c>
      <c r="B2659">
        <v>3.973913043478261</v>
      </c>
      <c r="C2659" t="s">
        <v>33</v>
      </c>
      <c r="D2659" t="s">
        <v>27</v>
      </c>
      <c r="E2659" t="s">
        <v>15</v>
      </c>
      <c r="F2659" t="s">
        <v>28</v>
      </c>
      <c r="G2659" t="s">
        <v>290</v>
      </c>
      <c r="H2659" t="s">
        <v>34</v>
      </c>
    </row>
    <row r="2660" spans="1:8" x14ac:dyDescent="0.2">
      <c r="A2660" t="s">
        <v>280</v>
      </c>
      <c r="B2660">
        <v>-113.2595620086403</v>
      </c>
      <c r="C2660" t="s">
        <v>33</v>
      </c>
      <c r="D2660" t="s">
        <v>27</v>
      </c>
      <c r="E2660" t="s">
        <v>15</v>
      </c>
      <c r="F2660" t="s">
        <v>28</v>
      </c>
      <c r="G2660" t="s">
        <v>281</v>
      </c>
      <c r="H2660" t="s">
        <v>282</v>
      </c>
    </row>
    <row r="2661" spans="1:8" x14ac:dyDescent="0.2">
      <c r="A2661" t="s">
        <v>276</v>
      </c>
      <c r="B2661">
        <v>-1161</v>
      </c>
      <c r="C2661" t="s">
        <v>33</v>
      </c>
      <c r="D2661" t="s">
        <v>27</v>
      </c>
      <c r="E2661" t="s">
        <v>15</v>
      </c>
      <c r="F2661" t="s">
        <v>28</v>
      </c>
      <c r="G2661" t="s">
        <v>277</v>
      </c>
      <c r="H2661" t="s">
        <v>25</v>
      </c>
    </row>
    <row r="2662" spans="1:8" x14ac:dyDescent="0.2">
      <c r="A2662" t="s">
        <v>501</v>
      </c>
      <c r="B2662">
        <v>-89.879410518330758</v>
      </c>
      <c r="C2662" t="s">
        <v>33</v>
      </c>
      <c r="D2662" t="s">
        <v>27</v>
      </c>
      <c r="E2662" t="s">
        <v>15</v>
      </c>
      <c r="F2662" t="s">
        <v>28</v>
      </c>
      <c r="G2662" t="s">
        <v>502</v>
      </c>
      <c r="H2662" t="s">
        <v>25</v>
      </c>
    </row>
    <row r="2663" spans="1:8" x14ac:dyDescent="0.2">
      <c r="A2663" t="s">
        <v>56</v>
      </c>
      <c r="B2663">
        <v>960</v>
      </c>
      <c r="C2663" t="s">
        <v>63</v>
      </c>
      <c r="D2663" t="s">
        <v>39</v>
      </c>
      <c r="E2663" t="s">
        <v>15</v>
      </c>
      <c r="F2663" t="s">
        <v>28</v>
      </c>
      <c r="G2663" t="s">
        <v>58</v>
      </c>
      <c r="H2663" t="s">
        <v>34</v>
      </c>
    </row>
    <row r="2664" spans="1:8" x14ac:dyDescent="0.2">
      <c r="A2664" t="s">
        <v>491</v>
      </c>
      <c r="B2664">
        <v>1</v>
      </c>
      <c r="C2664" t="s">
        <v>26</v>
      </c>
      <c r="D2664" t="s">
        <v>10</v>
      </c>
      <c r="E2664" t="s">
        <v>15</v>
      </c>
      <c r="F2664" t="s">
        <v>24</v>
      </c>
      <c r="G2664" t="s">
        <v>88</v>
      </c>
      <c r="H2664" t="s">
        <v>25</v>
      </c>
    </row>
    <row r="2667" spans="1:8" ht="16" x14ac:dyDescent="0.2">
      <c r="A2667" s="1" t="s">
        <v>4</v>
      </c>
      <c r="B2667" s="1" t="s">
        <v>374</v>
      </c>
    </row>
    <row r="2668" spans="1:8" x14ac:dyDescent="0.2">
      <c r="A2668" t="s">
        <v>5</v>
      </c>
      <c r="B2668" t="s">
        <v>26</v>
      </c>
    </row>
    <row r="2669" spans="1:8" x14ac:dyDescent="0.2">
      <c r="A2669" t="s">
        <v>6</v>
      </c>
      <c r="B2669">
        <v>1</v>
      </c>
    </row>
    <row r="2670" spans="1:8" x14ac:dyDescent="0.2">
      <c r="A2670" t="s">
        <v>7</v>
      </c>
      <c r="B2670" t="s">
        <v>71</v>
      </c>
    </row>
    <row r="2671" spans="1:8" x14ac:dyDescent="0.2">
      <c r="A2671" t="s">
        <v>8</v>
      </c>
      <c r="B2671" t="s">
        <v>9</v>
      </c>
    </row>
    <row r="2672" spans="1:8" x14ac:dyDescent="0.2">
      <c r="A2672" t="s">
        <v>10</v>
      </c>
      <c r="B2672" t="s">
        <v>10</v>
      </c>
    </row>
    <row r="2673" spans="1:8" x14ac:dyDescent="0.2">
      <c r="A2673" t="s">
        <v>11</v>
      </c>
      <c r="B2673" t="s">
        <v>12</v>
      </c>
    </row>
    <row r="2674" spans="1:8" x14ac:dyDescent="0.2">
      <c r="A2674" t="s">
        <v>13</v>
      </c>
      <c r="B2674" t="s">
        <v>291</v>
      </c>
    </row>
    <row r="2675" spans="1:8" x14ac:dyDescent="0.2">
      <c r="A2675" t="s">
        <v>14</v>
      </c>
      <c r="B2675" t="s">
        <v>271</v>
      </c>
    </row>
    <row r="2676" spans="1:8" x14ac:dyDescent="0.2">
      <c r="A2676" t="s">
        <v>16</v>
      </c>
      <c r="B2676" t="s">
        <v>15</v>
      </c>
    </row>
    <row r="2677" spans="1:8" x14ac:dyDescent="0.2">
      <c r="A2677" t="s">
        <v>17</v>
      </c>
      <c r="B2677" t="s">
        <v>166</v>
      </c>
    </row>
    <row r="2678" spans="1:8" ht="16" x14ac:dyDescent="0.2">
      <c r="A2678" s="1" t="s">
        <v>18</v>
      </c>
    </row>
    <row r="2679" spans="1:8" x14ac:dyDescent="0.2">
      <c r="A2679" t="s">
        <v>19</v>
      </c>
      <c r="B2679" t="s">
        <v>20</v>
      </c>
      <c r="C2679" t="s">
        <v>5</v>
      </c>
      <c r="D2679" t="s">
        <v>10</v>
      </c>
      <c r="E2679" t="s">
        <v>22</v>
      </c>
      <c r="F2679" t="s">
        <v>8</v>
      </c>
      <c r="G2679" t="s">
        <v>7</v>
      </c>
      <c r="H2679" t="s">
        <v>23</v>
      </c>
    </row>
    <row r="2680" spans="1:8" x14ac:dyDescent="0.2">
      <c r="A2680" t="s">
        <v>610</v>
      </c>
      <c r="B2680">
        <f>16.12</f>
        <v>16.12</v>
      </c>
      <c r="C2680" t="s">
        <v>33</v>
      </c>
      <c r="D2680" t="s">
        <v>39</v>
      </c>
      <c r="F2680" t="s">
        <v>28</v>
      </c>
      <c r="G2680" t="s">
        <v>611</v>
      </c>
      <c r="H2680" t="s">
        <v>34</v>
      </c>
    </row>
    <row r="2681" spans="1:8" x14ac:dyDescent="0.2">
      <c r="A2681" t="s">
        <v>61</v>
      </c>
      <c r="B2681">
        <v>143.5584239130435</v>
      </c>
      <c r="C2681" t="s">
        <v>33</v>
      </c>
      <c r="D2681" t="s">
        <v>27</v>
      </c>
      <c r="E2681" t="s">
        <v>15</v>
      </c>
      <c r="F2681" t="s">
        <v>28</v>
      </c>
      <c r="G2681" t="s">
        <v>61</v>
      </c>
      <c r="H2681" t="s">
        <v>62</v>
      </c>
    </row>
    <row r="2682" spans="1:8" x14ac:dyDescent="0.2">
      <c r="A2682" t="s">
        <v>278</v>
      </c>
      <c r="B2682">
        <v>36.320058821912824</v>
      </c>
      <c r="C2682" t="s">
        <v>33</v>
      </c>
      <c r="D2682" t="s">
        <v>27</v>
      </c>
      <c r="E2682" t="s">
        <v>15</v>
      </c>
      <c r="F2682" t="s">
        <v>28</v>
      </c>
      <c r="G2682" t="s">
        <v>279</v>
      </c>
      <c r="H2682" t="s">
        <v>275</v>
      </c>
    </row>
    <row r="2683" spans="1:8" x14ac:dyDescent="0.2">
      <c r="A2683" t="s">
        <v>272</v>
      </c>
      <c r="B2683">
        <v>1390.25</v>
      </c>
      <c r="C2683" t="s">
        <v>33</v>
      </c>
      <c r="D2683" t="s">
        <v>27</v>
      </c>
      <c r="E2683" t="s">
        <v>15</v>
      </c>
      <c r="F2683" t="s">
        <v>28</v>
      </c>
      <c r="G2683" t="s">
        <v>273</v>
      </c>
      <c r="H2683" t="s">
        <v>62</v>
      </c>
    </row>
    <row r="2684" spans="1:8" x14ac:dyDescent="0.2">
      <c r="A2684" t="s">
        <v>274</v>
      </c>
      <c r="B2684">
        <v>256.41866008291299</v>
      </c>
      <c r="C2684" t="s">
        <v>33</v>
      </c>
      <c r="D2684" t="s">
        <v>27</v>
      </c>
      <c r="E2684" t="s">
        <v>15</v>
      </c>
      <c r="F2684" t="s">
        <v>28</v>
      </c>
      <c r="G2684" t="s">
        <v>500</v>
      </c>
      <c r="H2684" t="s">
        <v>275</v>
      </c>
    </row>
    <row r="2685" spans="1:8" x14ac:dyDescent="0.2">
      <c r="A2685" t="s">
        <v>287</v>
      </c>
      <c r="B2685">
        <v>8.9706521739130434</v>
      </c>
      <c r="C2685" t="s">
        <v>33</v>
      </c>
      <c r="D2685" t="s">
        <v>27</v>
      </c>
      <c r="E2685" t="s">
        <v>15</v>
      </c>
      <c r="F2685" t="s">
        <v>28</v>
      </c>
      <c r="G2685" t="s">
        <v>288</v>
      </c>
      <c r="H2685" t="s">
        <v>34</v>
      </c>
    </row>
    <row r="2686" spans="1:8" x14ac:dyDescent="0.2">
      <c r="A2686" t="s">
        <v>289</v>
      </c>
      <c r="B2686">
        <v>3.9869565217391298</v>
      </c>
      <c r="C2686" t="s">
        <v>33</v>
      </c>
      <c r="D2686" t="s">
        <v>27</v>
      </c>
      <c r="E2686" t="s">
        <v>15</v>
      </c>
      <c r="F2686" t="s">
        <v>28</v>
      </c>
      <c r="G2686" t="s">
        <v>290</v>
      </c>
      <c r="H2686" t="s">
        <v>34</v>
      </c>
    </row>
    <row r="2687" spans="1:8" x14ac:dyDescent="0.2">
      <c r="A2687" t="s">
        <v>280</v>
      </c>
      <c r="B2687">
        <v>-49.277667517564993</v>
      </c>
      <c r="C2687" t="s">
        <v>33</v>
      </c>
      <c r="D2687" t="s">
        <v>27</v>
      </c>
      <c r="E2687" t="s">
        <v>15</v>
      </c>
      <c r="F2687" t="s">
        <v>28</v>
      </c>
      <c r="G2687" t="s">
        <v>281</v>
      </c>
      <c r="H2687" t="s">
        <v>282</v>
      </c>
    </row>
    <row r="2688" spans="1:8" x14ac:dyDescent="0.2">
      <c r="A2688" t="s">
        <v>60</v>
      </c>
      <c r="B2688">
        <v>37.541666666666657</v>
      </c>
      <c r="C2688" t="s">
        <v>26</v>
      </c>
      <c r="D2688" t="s">
        <v>27</v>
      </c>
      <c r="E2688" t="s">
        <v>15</v>
      </c>
      <c r="F2688" t="s">
        <v>28</v>
      </c>
      <c r="G2688" t="s">
        <v>54</v>
      </c>
      <c r="H2688" t="s">
        <v>34</v>
      </c>
    </row>
    <row r="2689" spans="1:8" x14ac:dyDescent="0.2">
      <c r="A2689" t="s">
        <v>276</v>
      </c>
      <c r="B2689">
        <v>-1284.233242753623</v>
      </c>
      <c r="C2689" t="s">
        <v>33</v>
      </c>
      <c r="D2689" t="s">
        <v>27</v>
      </c>
      <c r="E2689" t="s">
        <v>15</v>
      </c>
      <c r="F2689" t="s">
        <v>28</v>
      </c>
      <c r="G2689" t="s">
        <v>277</v>
      </c>
      <c r="H2689" t="s">
        <v>25</v>
      </c>
    </row>
    <row r="2690" spans="1:8" x14ac:dyDescent="0.2">
      <c r="A2690" t="s">
        <v>501</v>
      </c>
      <c r="B2690">
        <v>-256.41866008291299</v>
      </c>
      <c r="C2690" t="s">
        <v>33</v>
      </c>
      <c r="D2690" t="s">
        <v>27</v>
      </c>
      <c r="E2690" t="s">
        <v>15</v>
      </c>
      <c r="F2690" t="s">
        <v>28</v>
      </c>
      <c r="G2690" t="s">
        <v>502</v>
      </c>
      <c r="H2690" t="s">
        <v>25</v>
      </c>
    </row>
    <row r="2691" spans="1:8" x14ac:dyDescent="0.2">
      <c r="A2691" t="s">
        <v>56</v>
      </c>
      <c r="B2691">
        <v>96.722868102061909</v>
      </c>
      <c r="C2691" t="s">
        <v>63</v>
      </c>
      <c r="D2691" t="s">
        <v>39</v>
      </c>
      <c r="E2691" t="s">
        <v>15</v>
      </c>
      <c r="F2691" t="s">
        <v>28</v>
      </c>
      <c r="G2691" t="s">
        <v>58</v>
      </c>
      <c r="H2691" t="s">
        <v>34</v>
      </c>
    </row>
    <row r="2692" spans="1:8" x14ac:dyDescent="0.2">
      <c r="A2692" t="s">
        <v>374</v>
      </c>
      <c r="B2692">
        <v>1</v>
      </c>
      <c r="C2692" t="s">
        <v>26</v>
      </c>
      <c r="D2692" t="s">
        <v>10</v>
      </c>
      <c r="E2692" t="s">
        <v>15</v>
      </c>
      <c r="F2692" t="s">
        <v>24</v>
      </c>
      <c r="G2692" t="s">
        <v>71</v>
      </c>
      <c r="H2692" t="s">
        <v>25</v>
      </c>
    </row>
    <row r="2694" spans="1:8" ht="16" x14ac:dyDescent="0.2">
      <c r="A2694" s="1" t="s">
        <v>4</v>
      </c>
      <c r="B2694" s="1" t="s">
        <v>318</v>
      </c>
    </row>
    <row r="2695" spans="1:8" x14ac:dyDescent="0.2">
      <c r="A2695" t="s">
        <v>5</v>
      </c>
      <c r="B2695" t="s">
        <v>26</v>
      </c>
    </row>
    <row r="2696" spans="1:8" x14ac:dyDescent="0.2">
      <c r="A2696" t="s">
        <v>6</v>
      </c>
      <c r="B2696">
        <v>1</v>
      </c>
    </row>
    <row r="2697" spans="1:8" x14ac:dyDescent="0.2">
      <c r="A2697" t="s">
        <v>7</v>
      </c>
      <c r="B2697" t="s">
        <v>73</v>
      </c>
    </row>
    <row r="2698" spans="1:8" x14ac:dyDescent="0.2">
      <c r="A2698" t="s">
        <v>8</v>
      </c>
      <c r="B2698" t="s">
        <v>9</v>
      </c>
    </row>
    <row r="2699" spans="1:8" x14ac:dyDescent="0.2">
      <c r="A2699" t="s">
        <v>10</v>
      </c>
      <c r="B2699" t="s">
        <v>10</v>
      </c>
    </row>
    <row r="2700" spans="1:8" x14ac:dyDescent="0.2">
      <c r="A2700" t="s">
        <v>11</v>
      </c>
      <c r="B2700" t="s">
        <v>12</v>
      </c>
    </row>
    <row r="2701" spans="1:8" x14ac:dyDescent="0.2">
      <c r="A2701" t="s">
        <v>13</v>
      </c>
      <c r="B2701" t="s">
        <v>291</v>
      </c>
    </row>
    <row r="2702" spans="1:8" x14ac:dyDescent="0.2">
      <c r="A2702" t="s">
        <v>14</v>
      </c>
      <c r="B2702" t="s">
        <v>271</v>
      </c>
    </row>
    <row r="2703" spans="1:8" x14ac:dyDescent="0.2">
      <c r="A2703" t="s">
        <v>16</v>
      </c>
      <c r="B2703" t="s">
        <v>15</v>
      </c>
    </row>
    <row r="2704" spans="1:8" x14ac:dyDescent="0.2">
      <c r="A2704" t="s">
        <v>17</v>
      </c>
      <c r="B2704" t="s">
        <v>167</v>
      </c>
    </row>
    <row r="2705" spans="1:8" ht="16" x14ac:dyDescent="0.2">
      <c r="A2705" s="1" t="s">
        <v>18</v>
      </c>
    </row>
    <row r="2706" spans="1:8" x14ac:dyDescent="0.2">
      <c r="A2706" t="s">
        <v>19</v>
      </c>
      <c r="B2706" t="s">
        <v>20</v>
      </c>
      <c r="C2706" t="s">
        <v>5</v>
      </c>
      <c r="D2706" t="s">
        <v>10</v>
      </c>
      <c r="E2706" t="s">
        <v>22</v>
      </c>
      <c r="F2706" t="s">
        <v>8</v>
      </c>
      <c r="G2706" t="s">
        <v>7</v>
      </c>
      <c r="H2706" t="s">
        <v>23</v>
      </c>
    </row>
    <row r="2707" spans="1:8" x14ac:dyDescent="0.2">
      <c r="A2707" t="s">
        <v>610</v>
      </c>
      <c r="B2707">
        <f>15.5</f>
        <v>15.5</v>
      </c>
      <c r="C2707" t="s">
        <v>33</v>
      </c>
      <c r="D2707" t="s">
        <v>39</v>
      </c>
      <c r="F2707" t="s">
        <v>28</v>
      </c>
      <c r="G2707" t="s">
        <v>611</v>
      </c>
      <c r="H2707" t="s">
        <v>34</v>
      </c>
    </row>
    <row r="2708" spans="1:8" x14ac:dyDescent="0.2">
      <c r="A2708" t="s">
        <v>61</v>
      </c>
      <c r="B2708">
        <v>148.0652173913044</v>
      </c>
      <c r="C2708" t="s">
        <v>33</v>
      </c>
      <c r="D2708" t="s">
        <v>27</v>
      </c>
      <c r="E2708" t="s">
        <v>15</v>
      </c>
      <c r="F2708" t="s">
        <v>28</v>
      </c>
      <c r="G2708" t="s">
        <v>61</v>
      </c>
      <c r="H2708" t="s">
        <v>62</v>
      </c>
    </row>
    <row r="2709" spans="1:8" x14ac:dyDescent="0.2">
      <c r="A2709" t="s">
        <v>278</v>
      </c>
      <c r="B2709">
        <v>35.852280643874337</v>
      </c>
      <c r="C2709" t="s">
        <v>33</v>
      </c>
      <c r="D2709" t="s">
        <v>27</v>
      </c>
      <c r="E2709" t="s">
        <v>15</v>
      </c>
      <c r="F2709" t="s">
        <v>28</v>
      </c>
      <c r="G2709" t="s">
        <v>279</v>
      </c>
      <c r="H2709" t="s">
        <v>275</v>
      </c>
    </row>
    <row r="2710" spans="1:8" x14ac:dyDescent="0.2">
      <c r="A2710" t="s">
        <v>272</v>
      </c>
      <c r="B2710">
        <v>1390</v>
      </c>
      <c r="C2710" t="s">
        <v>33</v>
      </c>
      <c r="D2710" t="s">
        <v>27</v>
      </c>
      <c r="E2710" t="s">
        <v>15</v>
      </c>
      <c r="F2710" t="s">
        <v>28</v>
      </c>
      <c r="G2710" t="s">
        <v>273</v>
      </c>
      <c r="H2710" t="s">
        <v>62</v>
      </c>
    </row>
    <row r="2711" spans="1:8" x14ac:dyDescent="0.2">
      <c r="A2711" t="s">
        <v>274</v>
      </c>
      <c r="B2711">
        <v>253.47485899081809</v>
      </c>
      <c r="C2711" t="s">
        <v>33</v>
      </c>
      <c r="D2711" t="s">
        <v>27</v>
      </c>
      <c r="E2711" t="s">
        <v>15</v>
      </c>
      <c r="F2711" t="s">
        <v>28</v>
      </c>
      <c r="G2711" t="s">
        <v>500</v>
      </c>
      <c r="H2711" t="s">
        <v>275</v>
      </c>
    </row>
    <row r="2712" spans="1:8" x14ac:dyDescent="0.2">
      <c r="A2712" t="s">
        <v>287</v>
      </c>
      <c r="B2712">
        <v>8.9413043478260867</v>
      </c>
      <c r="C2712" t="s">
        <v>33</v>
      </c>
      <c r="D2712" t="s">
        <v>27</v>
      </c>
      <c r="E2712" t="s">
        <v>15</v>
      </c>
      <c r="F2712" t="s">
        <v>28</v>
      </c>
      <c r="G2712" t="s">
        <v>288</v>
      </c>
      <c r="H2712" t="s">
        <v>34</v>
      </c>
    </row>
    <row r="2713" spans="1:8" x14ac:dyDescent="0.2">
      <c r="A2713" t="s">
        <v>289</v>
      </c>
      <c r="B2713">
        <v>3.973913043478261</v>
      </c>
      <c r="C2713" t="s">
        <v>33</v>
      </c>
      <c r="D2713" t="s">
        <v>27</v>
      </c>
      <c r="E2713" t="s">
        <v>15</v>
      </c>
      <c r="F2713" t="s">
        <v>28</v>
      </c>
      <c r="G2713" t="s">
        <v>290</v>
      </c>
      <c r="H2713" t="s">
        <v>34</v>
      </c>
    </row>
    <row r="2714" spans="1:8" x14ac:dyDescent="0.2">
      <c r="A2714" t="s">
        <v>280</v>
      </c>
      <c r="B2714">
        <v>-48.767498035178683</v>
      </c>
      <c r="C2714" t="s">
        <v>33</v>
      </c>
      <c r="D2714" t="s">
        <v>27</v>
      </c>
      <c r="E2714" t="s">
        <v>15</v>
      </c>
      <c r="F2714" t="s">
        <v>28</v>
      </c>
      <c r="G2714" t="s">
        <v>281</v>
      </c>
      <c r="H2714" t="s">
        <v>282</v>
      </c>
    </row>
    <row r="2715" spans="1:8" x14ac:dyDescent="0.2">
      <c r="A2715" t="s">
        <v>60</v>
      </c>
      <c r="B2715">
        <v>35.333333333333329</v>
      </c>
      <c r="C2715" t="s">
        <v>26</v>
      </c>
      <c r="D2715" t="s">
        <v>27</v>
      </c>
      <c r="E2715" t="s">
        <v>15</v>
      </c>
      <c r="F2715" t="s">
        <v>28</v>
      </c>
      <c r="G2715" t="s">
        <v>54</v>
      </c>
      <c r="H2715" t="s">
        <v>34</v>
      </c>
    </row>
    <row r="2716" spans="1:8" x14ac:dyDescent="0.2">
      <c r="A2716" t="s">
        <v>276</v>
      </c>
      <c r="B2716">
        <v>-1277.268115942029</v>
      </c>
      <c r="C2716" t="s">
        <v>33</v>
      </c>
      <c r="D2716" t="s">
        <v>27</v>
      </c>
      <c r="E2716" t="s">
        <v>15</v>
      </c>
      <c r="F2716" t="s">
        <v>28</v>
      </c>
      <c r="G2716" t="s">
        <v>277</v>
      </c>
      <c r="H2716" t="s">
        <v>25</v>
      </c>
    </row>
    <row r="2717" spans="1:8" x14ac:dyDescent="0.2">
      <c r="A2717" t="s">
        <v>501</v>
      </c>
      <c r="B2717">
        <v>-253.47485899081809</v>
      </c>
      <c r="C2717" t="s">
        <v>33</v>
      </c>
      <c r="D2717" t="s">
        <v>27</v>
      </c>
      <c r="E2717" t="s">
        <v>15</v>
      </c>
      <c r="F2717" t="s">
        <v>28</v>
      </c>
      <c r="G2717" t="s">
        <v>502</v>
      </c>
      <c r="H2717" t="s">
        <v>25</v>
      </c>
    </row>
    <row r="2718" spans="1:8" x14ac:dyDescent="0.2">
      <c r="A2718" t="s">
        <v>56</v>
      </c>
      <c r="B2718">
        <v>61.975910989242429</v>
      </c>
      <c r="C2718" t="s">
        <v>63</v>
      </c>
      <c r="D2718" t="s">
        <v>39</v>
      </c>
      <c r="E2718" t="s">
        <v>15</v>
      </c>
      <c r="F2718" t="s">
        <v>28</v>
      </c>
      <c r="G2718" t="s">
        <v>58</v>
      </c>
      <c r="H2718" t="s">
        <v>34</v>
      </c>
    </row>
    <row r="2719" spans="1:8" x14ac:dyDescent="0.2">
      <c r="A2719" t="s">
        <v>318</v>
      </c>
      <c r="B2719">
        <v>1</v>
      </c>
      <c r="C2719" t="s">
        <v>26</v>
      </c>
      <c r="D2719" t="s">
        <v>10</v>
      </c>
      <c r="E2719" t="s">
        <v>15</v>
      </c>
      <c r="F2719" t="s">
        <v>24</v>
      </c>
      <c r="G2719" t="s">
        <v>73</v>
      </c>
      <c r="H2719" t="s">
        <v>25</v>
      </c>
    </row>
    <row r="2722" spans="1:8" ht="16" x14ac:dyDescent="0.2">
      <c r="A2722" s="1" t="s">
        <v>4</v>
      </c>
      <c r="B2722" s="1" t="s">
        <v>375</v>
      </c>
    </row>
    <row r="2723" spans="1:8" x14ac:dyDescent="0.2">
      <c r="A2723" t="s">
        <v>5</v>
      </c>
      <c r="B2723" t="s">
        <v>26</v>
      </c>
    </row>
    <row r="2724" spans="1:8" x14ac:dyDescent="0.2">
      <c r="A2724" t="s">
        <v>6</v>
      </c>
      <c r="B2724">
        <v>1</v>
      </c>
    </row>
    <row r="2725" spans="1:8" x14ac:dyDescent="0.2">
      <c r="A2725" t="s">
        <v>7</v>
      </c>
      <c r="B2725" t="s">
        <v>71</v>
      </c>
    </row>
    <row r="2726" spans="1:8" x14ac:dyDescent="0.2">
      <c r="A2726" t="s">
        <v>8</v>
      </c>
      <c r="B2726" t="s">
        <v>9</v>
      </c>
    </row>
    <row r="2727" spans="1:8" x14ac:dyDescent="0.2">
      <c r="A2727" t="s">
        <v>10</v>
      </c>
      <c r="B2727" t="s">
        <v>10</v>
      </c>
    </row>
    <row r="2728" spans="1:8" x14ac:dyDescent="0.2">
      <c r="A2728" t="s">
        <v>11</v>
      </c>
      <c r="B2728" t="s">
        <v>12</v>
      </c>
    </row>
    <row r="2729" spans="1:8" x14ac:dyDescent="0.2">
      <c r="A2729" t="s">
        <v>13</v>
      </c>
      <c r="B2729" t="s">
        <v>291</v>
      </c>
    </row>
    <row r="2730" spans="1:8" x14ac:dyDescent="0.2">
      <c r="A2730" t="s">
        <v>14</v>
      </c>
      <c r="B2730" t="s">
        <v>271</v>
      </c>
    </row>
    <row r="2731" spans="1:8" x14ac:dyDescent="0.2">
      <c r="A2731" t="s">
        <v>16</v>
      </c>
      <c r="B2731" t="s">
        <v>15</v>
      </c>
    </row>
    <row r="2732" spans="1:8" x14ac:dyDescent="0.2">
      <c r="A2732" t="s">
        <v>17</v>
      </c>
      <c r="B2732" t="s">
        <v>168</v>
      </c>
    </row>
    <row r="2733" spans="1:8" ht="16" x14ac:dyDescent="0.2">
      <c r="A2733" s="1" t="s">
        <v>18</v>
      </c>
    </row>
    <row r="2734" spans="1:8" x14ac:dyDescent="0.2">
      <c r="A2734" t="s">
        <v>19</v>
      </c>
      <c r="B2734" t="s">
        <v>20</v>
      </c>
      <c r="C2734" t="s">
        <v>5</v>
      </c>
      <c r="D2734" t="s">
        <v>10</v>
      </c>
      <c r="E2734" t="s">
        <v>22</v>
      </c>
      <c r="F2734" t="s">
        <v>8</v>
      </c>
      <c r="G2734" t="s">
        <v>7</v>
      </c>
      <c r="H2734" t="s">
        <v>23</v>
      </c>
    </row>
    <row r="2735" spans="1:8" x14ac:dyDescent="0.2">
      <c r="A2735" t="s">
        <v>610</v>
      </c>
      <c r="B2735">
        <f>16.1</f>
        <v>16.100000000000001</v>
      </c>
      <c r="C2735" t="s">
        <v>33</v>
      </c>
      <c r="D2735" t="s">
        <v>39</v>
      </c>
      <c r="F2735" t="s">
        <v>28</v>
      </c>
      <c r="G2735" t="s">
        <v>611</v>
      </c>
      <c r="H2735" t="s">
        <v>34</v>
      </c>
    </row>
    <row r="2736" spans="1:8" x14ac:dyDescent="0.2">
      <c r="A2736" t="s">
        <v>61</v>
      </c>
      <c r="B2736">
        <v>143.5584239130435</v>
      </c>
      <c r="C2736" t="s">
        <v>33</v>
      </c>
      <c r="D2736" t="s">
        <v>27</v>
      </c>
      <c r="E2736" t="s">
        <v>15</v>
      </c>
      <c r="F2736" t="s">
        <v>28</v>
      </c>
      <c r="G2736" t="s">
        <v>61</v>
      </c>
      <c r="H2736" t="s">
        <v>62</v>
      </c>
    </row>
    <row r="2737" spans="1:8" x14ac:dyDescent="0.2">
      <c r="A2737" t="s">
        <v>278</v>
      </c>
      <c r="B2737">
        <v>36.324059609088948</v>
      </c>
      <c r="C2737" t="s">
        <v>33</v>
      </c>
      <c r="D2737" t="s">
        <v>27</v>
      </c>
      <c r="E2737" t="s">
        <v>15</v>
      </c>
      <c r="F2737" t="s">
        <v>28</v>
      </c>
      <c r="G2737" t="s">
        <v>279</v>
      </c>
      <c r="H2737" t="s">
        <v>275</v>
      </c>
    </row>
    <row r="2738" spans="1:8" x14ac:dyDescent="0.2">
      <c r="A2738" t="s">
        <v>272</v>
      </c>
      <c r="B2738">
        <v>1390.25</v>
      </c>
      <c r="C2738" t="s">
        <v>33</v>
      </c>
      <c r="D2738" t="s">
        <v>27</v>
      </c>
      <c r="E2738" t="s">
        <v>15</v>
      </c>
      <c r="F2738" t="s">
        <v>28</v>
      </c>
      <c r="G2738" t="s">
        <v>273</v>
      </c>
      <c r="H2738" t="s">
        <v>62</v>
      </c>
    </row>
    <row r="2739" spans="1:8" x14ac:dyDescent="0.2">
      <c r="A2739" t="s">
        <v>274</v>
      </c>
      <c r="B2739">
        <v>256.45288420799579</v>
      </c>
      <c r="C2739" t="s">
        <v>33</v>
      </c>
      <c r="D2739" t="s">
        <v>27</v>
      </c>
      <c r="E2739" t="s">
        <v>15</v>
      </c>
      <c r="F2739" t="s">
        <v>28</v>
      </c>
      <c r="G2739" t="s">
        <v>500</v>
      </c>
      <c r="H2739" t="s">
        <v>275</v>
      </c>
    </row>
    <row r="2740" spans="1:8" x14ac:dyDescent="0.2">
      <c r="A2740" t="s">
        <v>287</v>
      </c>
      <c r="B2740">
        <v>8.9706521739130434</v>
      </c>
      <c r="C2740" t="s">
        <v>33</v>
      </c>
      <c r="D2740" t="s">
        <v>27</v>
      </c>
      <c r="E2740" t="s">
        <v>15</v>
      </c>
      <c r="F2740" t="s">
        <v>28</v>
      </c>
      <c r="G2740" t="s">
        <v>288</v>
      </c>
      <c r="H2740" t="s">
        <v>34</v>
      </c>
    </row>
    <row r="2741" spans="1:8" x14ac:dyDescent="0.2">
      <c r="A2741" t="s">
        <v>289</v>
      </c>
      <c r="B2741">
        <v>3.9869565217391298</v>
      </c>
      <c r="C2741" t="s">
        <v>33</v>
      </c>
      <c r="D2741" t="s">
        <v>27</v>
      </c>
      <c r="E2741" t="s">
        <v>15</v>
      </c>
      <c r="F2741" t="s">
        <v>28</v>
      </c>
      <c r="G2741" t="s">
        <v>290</v>
      </c>
      <c r="H2741" t="s">
        <v>34</v>
      </c>
    </row>
    <row r="2742" spans="1:8" x14ac:dyDescent="0.2">
      <c r="A2742" t="s">
        <v>280</v>
      </c>
      <c r="B2742">
        <v>-49.281668304741117</v>
      </c>
      <c r="C2742" t="s">
        <v>33</v>
      </c>
      <c r="D2742" t="s">
        <v>27</v>
      </c>
      <c r="E2742" t="s">
        <v>15</v>
      </c>
      <c r="F2742" t="s">
        <v>28</v>
      </c>
      <c r="G2742" t="s">
        <v>281</v>
      </c>
      <c r="H2742" t="s">
        <v>282</v>
      </c>
    </row>
    <row r="2743" spans="1:8" x14ac:dyDescent="0.2">
      <c r="A2743" t="s">
        <v>60</v>
      </c>
      <c r="B2743">
        <v>37.895833333333329</v>
      </c>
      <c r="C2743" t="s">
        <v>26</v>
      </c>
      <c r="D2743" t="s">
        <v>27</v>
      </c>
      <c r="E2743" t="s">
        <v>15</v>
      </c>
      <c r="F2743" t="s">
        <v>28</v>
      </c>
      <c r="G2743" t="s">
        <v>54</v>
      </c>
      <c r="H2743" t="s">
        <v>34</v>
      </c>
    </row>
    <row r="2744" spans="1:8" x14ac:dyDescent="0.2">
      <c r="A2744" t="s">
        <v>276</v>
      </c>
      <c r="B2744">
        <v>-1284.58740942029</v>
      </c>
      <c r="C2744" t="s">
        <v>33</v>
      </c>
      <c r="D2744" t="s">
        <v>27</v>
      </c>
      <c r="E2744" t="s">
        <v>15</v>
      </c>
      <c r="F2744" t="s">
        <v>28</v>
      </c>
      <c r="G2744" t="s">
        <v>277</v>
      </c>
      <c r="H2744" t="s">
        <v>25</v>
      </c>
    </row>
    <row r="2745" spans="1:8" x14ac:dyDescent="0.2">
      <c r="A2745" t="s">
        <v>501</v>
      </c>
      <c r="B2745">
        <v>-256.45288420799579</v>
      </c>
      <c r="C2745" t="s">
        <v>33</v>
      </c>
      <c r="D2745" t="s">
        <v>27</v>
      </c>
      <c r="E2745" t="s">
        <v>15</v>
      </c>
      <c r="F2745" t="s">
        <v>28</v>
      </c>
      <c r="G2745" t="s">
        <v>502</v>
      </c>
      <c r="H2745" t="s">
        <v>25</v>
      </c>
    </row>
    <row r="2746" spans="1:8" x14ac:dyDescent="0.2">
      <c r="A2746" t="s">
        <v>56</v>
      </c>
      <c r="B2746">
        <v>96.746114781232649</v>
      </c>
      <c r="C2746" t="s">
        <v>63</v>
      </c>
      <c r="D2746" t="s">
        <v>39</v>
      </c>
      <c r="E2746" t="s">
        <v>15</v>
      </c>
      <c r="F2746" t="s">
        <v>28</v>
      </c>
      <c r="G2746" t="s">
        <v>58</v>
      </c>
      <c r="H2746" t="s">
        <v>34</v>
      </c>
    </row>
    <row r="2747" spans="1:8" x14ac:dyDescent="0.2">
      <c r="A2747" t="s">
        <v>375</v>
      </c>
      <c r="B2747">
        <v>1</v>
      </c>
      <c r="C2747" t="s">
        <v>26</v>
      </c>
      <c r="D2747" t="s">
        <v>10</v>
      </c>
      <c r="E2747" t="s">
        <v>15</v>
      </c>
      <c r="F2747" t="s">
        <v>24</v>
      </c>
      <c r="G2747" t="s">
        <v>71</v>
      </c>
      <c r="H2747" t="s">
        <v>25</v>
      </c>
    </row>
    <row r="2749" spans="1:8" ht="16" x14ac:dyDescent="0.2">
      <c r="A2749" s="1" t="s">
        <v>4</v>
      </c>
      <c r="B2749" s="1" t="s">
        <v>319</v>
      </c>
    </row>
    <row r="2750" spans="1:8" x14ac:dyDescent="0.2">
      <c r="A2750" t="s">
        <v>5</v>
      </c>
      <c r="B2750" t="s">
        <v>26</v>
      </c>
    </row>
    <row r="2751" spans="1:8" x14ac:dyDescent="0.2">
      <c r="A2751" t="s">
        <v>6</v>
      </c>
      <c r="B2751">
        <v>1</v>
      </c>
    </row>
    <row r="2752" spans="1:8" x14ac:dyDescent="0.2">
      <c r="A2752" t="s">
        <v>7</v>
      </c>
      <c r="B2752" t="s">
        <v>73</v>
      </c>
    </row>
    <row r="2753" spans="1:8" x14ac:dyDescent="0.2">
      <c r="A2753" t="s">
        <v>8</v>
      </c>
      <c r="B2753" t="s">
        <v>9</v>
      </c>
    </row>
    <row r="2754" spans="1:8" x14ac:dyDescent="0.2">
      <c r="A2754" t="s">
        <v>10</v>
      </c>
      <c r="B2754" t="s">
        <v>10</v>
      </c>
    </row>
    <row r="2755" spans="1:8" x14ac:dyDescent="0.2">
      <c r="A2755" t="s">
        <v>11</v>
      </c>
      <c r="B2755" t="s">
        <v>12</v>
      </c>
    </row>
    <row r="2756" spans="1:8" x14ac:dyDescent="0.2">
      <c r="A2756" t="s">
        <v>13</v>
      </c>
      <c r="B2756" t="s">
        <v>291</v>
      </c>
    </row>
    <row r="2757" spans="1:8" x14ac:dyDescent="0.2">
      <c r="A2757" t="s">
        <v>14</v>
      </c>
      <c r="B2757" t="s">
        <v>271</v>
      </c>
    </row>
    <row r="2758" spans="1:8" x14ac:dyDescent="0.2">
      <c r="A2758" t="s">
        <v>16</v>
      </c>
      <c r="B2758" t="s">
        <v>15</v>
      </c>
    </row>
    <row r="2759" spans="1:8" x14ac:dyDescent="0.2">
      <c r="A2759" t="s">
        <v>17</v>
      </c>
      <c r="B2759" t="s">
        <v>169</v>
      </c>
    </row>
    <row r="2760" spans="1:8" ht="16" x14ac:dyDescent="0.2">
      <c r="A2760" s="1" t="s">
        <v>18</v>
      </c>
    </row>
    <row r="2761" spans="1:8" x14ac:dyDescent="0.2">
      <c r="A2761" t="s">
        <v>19</v>
      </c>
      <c r="B2761" t="s">
        <v>20</v>
      </c>
      <c r="C2761" t="s">
        <v>5</v>
      </c>
      <c r="D2761" t="s">
        <v>10</v>
      </c>
      <c r="E2761" t="s">
        <v>22</v>
      </c>
      <c r="F2761" t="s">
        <v>8</v>
      </c>
      <c r="G2761" t="s">
        <v>7</v>
      </c>
      <c r="H2761" t="s">
        <v>23</v>
      </c>
    </row>
    <row r="2762" spans="1:8" x14ac:dyDescent="0.2">
      <c r="A2762" t="s">
        <v>610</v>
      </c>
      <c r="B2762">
        <f>15.5</f>
        <v>15.5</v>
      </c>
      <c r="C2762" t="s">
        <v>33</v>
      </c>
      <c r="D2762" t="s">
        <v>39</v>
      </c>
      <c r="F2762" t="s">
        <v>28</v>
      </c>
      <c r="G2762" t="s">
        <v>611</v>
      </c>
      <c r="H2762" t="s">
        <v>34</v>
      </c>
    </row>
    <row r="2763" spans="1:8" x14ac:dyDescent="0.2">
      <c r="A2763" t="s">
        <v>61</v>
      </c>
      <c r="B2763">
        <v>148.0652173913044</v>
      </c>
      <c r="C2763" t="s">
        <v>33</v>
      </c>
      <c r="D2763" t="s">
        <v>27</v>
      </c>
      <c r="E2763" t="s">
        <v>15</v>
      </c>
      <c r="F2763" t="s">
        <v>28</v>
      </c>
      <c r="G2763" t="s">
        <v>61</v>
      </c>
      <c r="H2763" t="s">
        <v>62</v>
      </c>
    </row>
    <row r="2764" spans="1:8" x14ac:dyDescent="0.2">
      <c r="A2764" t="s">
        <v>278</v>
      </c>
      <c r="B2764">
        <v>35.856041654928923</v>
      </c>
      <c r="C2764" t="s">
        <v>33</v>
      </c>
      <c r="D2764" t="s">
        <v>27</v>
      </c>
      <c r="E2764" t="s">
        <v>15</v>
      </c>
      <c r="F2764" t="s">
        <v>28</v>
      </c>
      <c r="G2764" t="s">
        <v>279</v>
      </c>
      <c r="H2764" t="s">
        <v>275</v>
      </c>
    </row>
    <row r="2765" spans="1:8" x14ac:dyDescent="0.2">
      <c r="A2765" t="s">
        <v>272</v>
      </c>
      <c r="B2765">
        <v>1390</v>
      </c>
      <c r="C2765" t="s">
        <v>33</v>
      </c>
      <c r="D2765" t="s">
        <v>27</v>
      </c>
      <c r="E2765" t="s">
        <v>15</v>
      </c>
      <c r="F2765" t="s">
        <v>28</v>
      </c>
      <c r="G2765" t="s">
        <v>273</v>
      </c>
      <c r="H2765" t="s">
        <v>62</v>
      </c>
    </row>
    <row r="2766" spans="1:8" x14ac:dyDescent="0.2">
      <c r="A2766" t="s">
        <v>274</v>
      </c>
      <c r="B2766">
        <v>253.50686028922601</v>
      </c>
      <c r="C2766" t="s">
        <v>33</v>
      </c>
      <c r="D2766" t="s">
        <v>27</v>
      </c>
      <c r="E2766" t="s">
        <v>15</v>
      </c>
      <c r="F2766" t="s">
        <v>28</v>
      </c>
      <c r="G2766" t="s">
        <v>500</v>
      </c>
      <c r="H2766" t="s">
        <v>275</v>
      </c>
    </row>
    <row r="2767" spans="1:8" x14ac:dyDescent="0.2">
      <c r="A2767" t="s">
        <v>287</v>
      </c>
      <c r="B2767">
        <v>8.9413043478260867</v>
      </c>
      <c r="C2767" t="s">
        <v>33</v>
      </c>
      <c r="D2767" t="s">
        <v>27</v>
      </c>
      <c r="E2767" t="s">
        <v>15</v>
      </c>
      <c r="F2767" t="s">
        <v>28</v>
      </c>
      <c r="G2767" t="s">
        <v>288</v>
      </c>
      <c r="H2767" t="s">
        <v>34</v>
      </c>
    </row>
    <row r="2768" spans="1:8" x14ac:dyDescent="0.2">
      <c r="A2768" t="s">
        <v>289</v>
      </c>
      <c r="B2768">
        <v>3.973913043478261</v>
      </c>
      <c r="C2768" t="s">
        <v>33</v>
      </c>
      <c r="D2768" t="s">
        <v>27</v>
      </c>
      <c r="E2768" t="s">
        <v>15</v>
      </c>
      <c r="F2768" t="s">
        <v>28</v>
      </c>
      <c r="G2768" t="s">
        <v>290</v>
      </c>
      <c r="H2768" t="s">
        <v>34</v>
      </c>
    </row>
    <row r="2769" spans="1:8" x14ac:dyDescent="0.2">
      <c r="A2769" t="s">
        <v>280</v>
      </c>
      <c r="B2769">
        <v>-48.771259046233261</v>
      </c>
      <c r="C2769" t="s">
        <v>33</v>
      </c>
      <c r="D2769" t="s">
        <v>27</v>
      </c>
      <c r="E2769" t="s">
        <v>15</v>
      </c>
      <c r="F2769" t="s">
        <v>28</v>
      </c>
      <c r="G2769" t="s">
        <v>281</v>
      </c>
      <c r="H2769" t="s">
        <v>282</v>
      </c>
    </row>
    <row r="2770" spans="1:8" x14ac:dyDescent="0.2">
      <c r="A2770" t="s">
        <v>60</v>
      </c>
      <c r="B2770">
        <v>35.666666666666657</v>
      </c>
      <c r="C2770" t="s">
        <v>26</v>
      </c>
      <c r="D2770" t="s">
        <v>27</v>
      </c>
      <c r="E2770" t="s">
        <v>15</v>
      </c>
      <c r="F2770" t="s">
        <v>28</v>
      </c>
      <c r="G2770" t="s">
        <v>54</v>
      </c>
      <c r="H2770" t="s">
        <v>34</v>
      </c>
    </row>
    <row r="2771" spans="1:8" x14ac:dyDescent="0.2">
      <c r="A2771" t="s">
        <v>276</v>
      </c>
      <c r="B2771">
        <v>-1277.601449275362</v>
      </c>
      <c r="C2771" t="s">
        <v>33</v>
      </c>
      <c r="D2771" t="s">
        <v>27</v>
      </c>
      <c r="E2771" t="s">
        <v>15</v>
      </c>
      <c r="F2771" t="s">
        <v>28</v>
      </c>
      <c r="G2771" t="s">
        <v>277</v>
      </c>
      <c r="H2771" t="s">
        <v>25</v>
      </c>
    </row>
    <row r="2772" spans="1:8" x14ac:dyDescent="0.2">
      <c r="A2772" t="s">
        <v>501</v>
      </c>
      <c r="B2772">
        <v>-253.50686028922601</v>
      </c>
      <c r="C2772" t="s">
        <v>33</v>
      </c>
      <c r="D2772" t="s">
        <v>27</v>
      </c>
      <c r="E2772" t="s">
        <v>15</v>
      </c>
      <c r="F2772" t="s">
        <v>28</v>
      </c>
      <c r="G2772" t="s">
        <v>502</v>
      </c>
      <c r="H2772" t="s">
        <v>25</v>
      </c>
    </row>
    <row r="2773" spans="1:8" x14ac:dyDescent="0.2">
      <c r="A2773" t="s">
        <v>56</v>
      </c>
      <c r="B2773">
        <v>61.990033969529023</v>
      </c>
      <c r="C2773" t="s">
        <v>63</v>
      </c>
      <c r="D2773" t="s">
        <v>39</v>
      </c>
      <c r="E2773" t="s">
        <v>15</v>
      </c>
      <c r="F2773" t="s">
        <v>28</v>
      </c>
      <c r="G2773" t="s">
        <v>58</v>
      </c>
      <c r="H2773" t="s">
        <v>34</v>
      </c>
    </row>
    <row r="2774" spans="1:8" x14ac:dyDescent="0.2">
      <c r="A2774" t="s">
        <v>319</v>
      </c>
      <c r="B2774">
        <v>1</v>
      </c>
      <c r="C2774" t="s">
        <v>26</v>
      </c>
      <c r="D2774" t="s">
        <v>10</v>
      </c>
      <c r="E2774" t="s">
        <v>15</v>
      </c>
      <c r="F2774" t="s">
        <v>24</v>
      </c>
      <c r="G2774" t="s">
        <v>73</v>
      </c>
      <c r="H2774" t="s">
        <v>25</v>
      </c>
    </row>
    <row r="2777" spans="1:8" ht="16" x14ac:dyDescent="0.2">
      <c r="A2777" s="1" t="s">
        <v>4</v>
      </c>
      <c r="B2777" s="1" t="s">
        <v>464</v>
      </c>
    </row>
    <row r="2778" spans="1:8" x14ac:dyDescent="0.2">
      <c r="A2778" t="s">
        <v>5</v>
      </c>
      <c r="B2778" t="s">
        <v>26</v>
      </c>
    </row>
    <row r="2779" spans="1:8" x14ac:dyDescent="0.2">
      <c r="A2779" t="s">
        <v>6</v>
      </c>
      <c r="B2779">
        <v>1</v>
      </c>
    </row>
    <row r="2780" spans="1:8" x14ac:dyDescent="0.2">
      <c r="A2780" t="s">
        <v>7</v>
      </c>
      <c r="B2780" t="s">
        <v>65</v>
      </c>
    </row>
    <row r="2781" spans="1:8" x14ac:dyDescent="0.2">
      <c r="A2781" t="s">
        <v>8</v>
      </c>
      <c r="B2781" t="s">
        <v>9</v>
      </c>
    </row>
    <row r="2782" spans="1:8" x14ac:dyDescent="0.2">
      <c r="A2782" t="s">
        <v>10</v>
      </c>
      <c r="B2782" t="s">
        <v>10</v>
      </c>
    </row>
    <row r="2783" spans="1:8" x14ac:dyDescent="0.2">
      <c r="A2783" t="s">
        <v>11</v>
      </c>
      <c r="B2783" t="s">
        <v>12</v>
      </c>
    </row>
    <row r="2784" spans="1:8" x14ac:dyDescent="0.2">
      <c r="A2784" t="s">
        <v>13</v>
      </c>
      <c r="B2784" t="s">
        <v>291</v>
      </c>
    </row>
    <row r="2785" spans="1:8" x14ac:dyDescent="0.2">
      <c r="A2785" t="s">
        <v>14</v>
      </c>
      <c r="B2785" t="s">
        <v>271</v>
      </c>
    </row>
    <row r="2786" spans="1:8" x14ac:dyDescent="0.2">
      <c r="A2786" t="s">
        <v>16</v>
      </c>
      <c r="B2786" t="s">
        <v>15</v>
      </c>
    </row>
    <row r="2787" spans="1:8" x14ac:dyDescent="0.2">
      <c r="A2787" t="s">
        <v>17</v>
      </c>
      <c r="B2787" t="s">
        <v>170</v>
      </c>
    </row>
    <row r="2788" spans="1:8" ht="16" x14ac:dyDescent="0.2">
      <c r="A2788" s="1" t="s">
        <v>18</v>
      </c>
    </row>
    <row r="2789" spans="1:8" x14ac:dyDescent="0.2">
      <c r="A2789" t="s">
        <v>19</v>
      </c>
      <c r="B2789" t="s">
        <v>20</v>
      </c>
      <c r="C2789" t="s">
        <v>5</v>
      </c>
      <c r="D2789" t="s">
        <v>10</v>
      </c>
      <c r="E2789" t="s">
        <v>22</v>
      </c>
      <c r="F2789" t="s">
        <v>8</v>
      </c>
      <c r="G2789" t="s">
        <v>7</v>
      </c>
      <c r="H2789" t="s">
        <v>23</v>
      </c>
    </row>
    <row r="2790" spans="1:8" x14ac:dyDescent="0.2">
      <c r="A2790" t="s">
        <v>61</v>
      </c>
      <c r="B2790">
        <v>120</v>
      </c>
      <c r="C2790" t="s">
        <v>33</v>
      </c>
      <c r="D2790" t="s">
        <v>27</v>
      </c>
      <c r="E2790" t="s">
        <v>15</v>
      </c>
      <c r="F2790" t="s">
        <v>28</v>
      </c>
      <c r="G2790" t="s">
        <v>61</v>
      </c>
      <c r="H2790" t="s">
        <v>62</v>
      </c>
    </row>
    <row r="2791" spans="1:8" x14ac:dyDescent="0.2">
      <c r="A2791" t="s">
        <v>272</v>
      </c>
      <c r="B2791">
        <v>1200</v>
      </c>
      <c r="C2791" t="s">
        <v>33</v>
      </c>
      <c r="D2791" t="s">
        <v>27</v>
      </c>
      <c r="E2791" t="s">
        <v>15</v>
      </c>
      <c r="F2791" t="s">
        <v>28</v>
      </c>
      <c r="G2791" t="s">
        <v>273</v>
      </c>
      <c r="H2791" t="s">
        <v>62</v>
      </c>
    </row>
    <row r="2792" spans="1:8" x14ac:dyDescent="0.2">
      <c r="A2792" t="s">
        <v>274</v>
      </c>
      <c r="B2792">
        <v>252.25634604692459</v>
      </c>
      <c r="C2792" t="s">
        <v>33</v>
      </c>
      <c r="D2792" t="s">
        <v>27</v>
      </c>
      <c r="E2792" t="s">
        <v>15</v>
      </c>
      <c r="F2792" t="s">
        <v>28</v>
      </c>
      <c r="G2792" t="s">
        <v>500</v>
      </c>
      <c r="H2792" t="s">
        <v>275</v>
      </c>
    </row>
    <row r="2793" spans="1:8" x14ac:dyDescent="0.2">
      <c r="A2793" t="s">
        <v>60</v>
      </c>
      <c r="B2793">
        <v>61.833333333333329</v>
      </c>
      <c r="C2793" t="s">
        <v>26</v>
      </c>
      <c r="D2793" t="s">
        <v>27</v>
      </c>
      <c r="E2793" t="s">
        <v>15</v>
      </c>
      <c r="F2793" t="s">
        <v>28</v>
      </c>
      <c r="G2793" t="s">
        <v>54</v>
      </c>
      <c r="H2793" t="s">
        <v>34</v>
      </c>
    </row>
    <row r="2794" spans="1:8" x14ac:dyDescent="0.2">
      <c r="A2794" t="s">
        <v>276</v>
      </c>
      <c r="B2794">
        <v>-1141.833333333333</v>
      </c>
      <c r="C2794" t="s">
        <v>33</v>
      </c>
      <c r="D2794" t="s">
        <v>27</v>
      </c>
      <c r="E2794" t="s">
        <v>15</v>
      </c>
      <c r="F2794" t="s">
        <v>28</v>
      </c>
      <c r="G2794" t="s">
        <v>277</v>
      </c>
      <c r="H2794" t="s">
        <v>25</v>
      </c>
    </row>
    <row r="2795" spans="1:8" x14ac:dyDescent="0.2">
      <c r="A2795" t="s">
        <v>501</v>
      </c>
      <c r="B2795">
        <v>-252.25634604692459</v>
      </c>
      <c r="C2795" t="s">
        <v>33</v>
      </c>
      <c r="D2795" t="s">
        <v>27</v>
      </c>
      <c r="E2795" t="s">
        <v>15</v>
      </c>
      <c r="F2795" t="s">
        <v>28</v>
      </c>
      <c r="G2795" t="s">
        <v>502</v>
      </c>
      <c r="H2795" t="s">
        <v>25</v>
      </c>
    </row>
    <row r="2796" spans="1:8" x14ac:dyDescent="0.2">
      <c r="A2796" t="s">
        <v>464</v>
      </c>
      <c r="B2796">
        <v>1</v>
      </c>
      <c r="C2796" t="s">
        <v>26</v>
      </c>
      <c r="D2796" t="s">
        <v>10</v>
      </c>
      <c r="E2796" t="s">
        <v>15</v>
      </c>
      <c r="F2796" t="s">
        <v>24</v>
      </c>
      <c r="G2796" t="s">
        <v>65</v>
      </c>
      <c r="H2796" t="s">
        <v>25</v>
      </c>
    </row>
    <row r="2798" spans="1:8" ht="16" x14ac:dyDescent="0.2">
      <c r="A2798" s="1" t="s">
        <v>4</v>
      </c>
      <c r="B2798" s="1" t="s">
        <v>440</v>
      </c>
    </row>
    <row r="2799" spans="1:8" x14ac:dyDescent="0.2">
      <c r="A2799" t="s">
        <v>5</v>
      </c>
      <c r="B2799" t="s">
        <v>26</v>
      </c>
    </row>
    <row r="2800" spans="1:8" x14ac:dyDescent="0.2">
      <c r="A2800" t="s">
        <v>6</v>
      </c>
      <c r="B2800">
        <v>1</v>
      </c>
    </row>
    <row r="2801" spans="1:8" x14ac:dyDescent="0.2">
      <c r="A2801" t="s">
        <v>7</v>
      </c>
      <c r="B2801" t="s">
        <v>67</v>
      </c>
    </row>
    <row r="2802" spans="1:8" x14ac:dyDescent="0.2">
      <c r="A2802" t="s">
        <v>8</v>
      </c>
      <c r="B2802" t="s">
        <v>9</v>
      </c>
    </row>
    <row r="2803" spans="1:8" x14ac:dyDescent="0.2">
      <c r="A2803" t="s">
        <v>10</v>
      </c>
      <c r="B2803" t="s">
        <v>10</v>
      </c>
    </row>
    <row r="2804" spans="1:8" x14ac:dyDescent="0.2">
      <c r="A2804" t="s">
        <v>11</v>
      </c>
      <c r="B2804" t="s">
        <v>12</v>
      </c>
    </row>
    <row r="2805" spans="1:8" x14ac:dyDescent="0.2">
      <c r="A2805" t="s">
        <v>13</v>
      </c>
      <c r="B2805" t="s">
        <v>291</v>
      </c>
    </row>
    <row r="2806" spans="1:8" x14ac:dyDescent="0.2">
      <c r="A2806" t="s">
        <v>14</v>
      </c>
      <c r="B2806" t="s">
        <v>271</v>
      </c>
    </row>
    <row r="2807" spans="1:8" x14ac:dyDescent="0.2">
      <c r="A2807" t="s">
        <v>16</v>
      </c>
      <c r="B2807" t="s">
        <v>15</v>
      </c>
    </row>
    <row r="2808" spans="1:8" x14ac:dyDescent="0.2">
      <c r="A2808" t="s">
        <v>17</v>
      </c>
      <c r="B2808" t="s">
        <v>171</v>
      </c>
    </row>
    <row r="2809" spans="1:8" ht="16" x14ac:dyDescent="0.2">
      <c r="A2809" s="1" t="s">
        <v>18</v>
      </c>
    </row>
    <row r="2810" spans="1:8" x14ac:dyDescent="0.2">
      <c r="A2810" t="s">
        <v>19</v>
      </c>
      <c r="B2810" t="s">
        <v>20</v>
      </c>
      <c r="C2810" t="s">
        <v>5</v>
      </c>
      <c r="D2810" t="s">
        <v>10</v>
      </c>
      <c r="E2810" t="s">
        <v>22</v>
      </c>
      <c r="F2810" t="s">
        <v>8</v>
      </c>
      <c r="G2810" t="s">
        <v>7</v>
      </c>
      <c r="H2810" t="s">
        <v>23</v>
      </c>
    </row>
    <row r="2811" spans="1:8" x14ac:dyDescent="0.2">
      <c r="A2811" t="s">
        <v>61</v>
      </c>
      <c r="B2811">
        <v>120</v>
      </c>
      <c r="C2811" t="s">
        <v>33</v>
      </c>
      <c r="D2811" t="s">
        <v>27</v>
      </c>
      <c r="E2811" t="s">
        <v>15</v>
      </c>
      <c r="F2811" t="s">
        <v>28</v>
      </c>
      <c r="G2811" t="s">
        <v>61</v>
      </c>
      <c r="H2811" t="s">
        <v>62</v>
      </c>
    </row>
    <row r="2812" spans="1:8" x14ac:dyDescent="0.2">
      <c r="A2812" t="s">
        <v>272</v>
      </c>
      <c r="B2812">
        <v>1200</v>
      </c>
      <c r="C2812" t="s">
        <v>33</v>
      </c>
      <c r="D2812" t="s">
        <v>27</v>
      </c>
      <c r="E2812" t="s">
        <v>15</v>
      </c>
      <c r="F2812" t="s">
        <v>28</v>
      </c>
      <c r="G2812" t="s">
        <v>273</v>
      </c>
      <c r="H2812" t="s">
        <v>62</v>
      </c>
    </row>
    <row r="2813" spans="1:8" x14ac:dyDescent="0.2">
      <c r="A2813" t="s">
        <v>274</v>
      </c>
      <c r="B2813">
        <v>250.79519771039489</v>
      </c>
      <c r="C2813" t="s">
        <v>33</v>
      </c>
      <c r="D2813" t="s">
        <v>27</v>
      </c>
      <c r="E2813" t="s">
        <v>15</v>
      </c>
      <c r="F2813" t="s">
        <v>28</v>
      </c>
      <c r="G2813" t="s">
        <v>500</v>
      </c>
      <c r="H2813" t="s">
        <v>275</v>
      </c>
    </row>
    <row r="2814" spans="1:8" x14ac:dyDescent="0.2">
      <c r="A2814" t="s">
        <v>60</v>
      </c>
      <c r="B2814">
        <v>55.208333333333329</v>
      </c>
      <c r="C2814" t="s">
        <v>26</v>
      </c>
      <c r="D2814" t="s">
        <v>27</v>
      </c>
      <c r="E2814" t="s">
        <v>15</v>
      </c>
      <c r="F2814" t="s">
        <v>28</v>
      </c>
      <c r="G2814" t="s">
        <v>54</v>
      </c>
      <c r="H2814" t="s">
        <v>34</v>
      </c>
    </row>
    <row r="2815" spans="1:8" x14ac:dyDescent="0.2">
      <c r="A2815" t="s">
        <v>276</v>
      </c>
      <c r="B2815">
        <v>-1135.208333333333</v>
      </c>
      <c r="C2815" t="s">
        <v>33</v>
      </c>
      <c r="D2815" t="s">
        <v>27</v>
      </c>
      <c r="E2815" t="s">
        <v>15</v>
      </c>
      <c r="F2815" t="s">
        <v>28</v>
      </c>
      <c r="G2815" t="s">
        <v>277</v>
      </c>
      <c r="H2815" t="s">
        <v>25</v>
      </c>
    </row>
    <row r="2816" spans="1:8" x14ac:dyDescent="0.2">
      <c r="A2816" t="s">
        <v>501</v>
      </c>
      <c r="B2816">
        <v>-250.79519771039489</v>
      </c>
      <c r="C2816" t="s">
        <v>33</v>
      </c>
      <c r="D2816" t="s">
        <v>27</v>
      </c>
      <c r="E2816" t="s">
        <v>15</v>
      </c>
      <c r="F2816" t="s">
        <v>28</v>
      </c>
      <c r="G2816" t="s">
        <v>502</v>
      </c>
      <c r="H2816" t="s">
        <v>25</v>
      </c>
    </row>
    <row r="2817" spans="1:8" x14ac:dyDescent="0.2">
      <c r="A2817" t="s">
        <v>440</v>
      </c>
      <c r="B2817">
        <v>1</v>
      </c>
      <c r="C2817" t="s">
        <v>26</v>
      </c>
      <c r="D2817" t="s">
        <v>10</v>
      </c>
      <c r="E2817" t="s">
        <v>15</v>
      </c>
      <c r="F2817" t="s">
        <v>24</v>
      </c>
      <c r="G2817" t="s">
        <v>67</v>
      </c>
      <c r="H2817" t="s">
        <v>25</v>
      </c>
    </row>
    <row r="2819" spans="1:8" ht="16" x14ac:dyDescent="0.2">
      <c r="A2819" s="1" t="s">
        <v>4</v>
      </c>
      <c r="B2819" s="1" t="s">
        <v>416</v>
      </c>
    </row>
    <row r="2820" spans="1:8" x14ac:dyDescent="0.2">
      <c r="A2820" t="s">
        <v>5</v>
      </c>
      <c r="B2820" t="s">
        <v>26</v>
      </c>
    </row>
    <row r="2821" spans="1:8" x14ac:dyDescent="0.2">
      <c r="A2821" t="s">
        <v>6</v>
      </c>
      <c r="B2821">
        <v>1</v>
      </c>
    </row>
    <row r="2822" spans="1:8" x14ac:dyDescent="0.2">
      <c r="A2822" t="s">
        <v>7</v>
      </c>
      <c r="B2822" t="s">
        <v>69</v>
      </c>
    </row>
    <row r="2823" spans="1:8" x14ac:dyDescent="0.2">
      <c r="A2823" t="s">
        <v>8</v>
      </c>
      <c r="B2823" t="s">
        <v>9</v>
      </c>
    </row>
    <row r="2824" spans="1:8" x14ac:dyDescent="0.2">
      <c r="A2824" t="s">
        <v>10</v>
      </c>
      <c r="B2824" t="s">
        <v>10</v>
      </c>
    </row>
    <row r="2825" spans="1:8" x14ac:dyDescent="0.2">
      <c r="A2825" t="s">
        <v>11</v>
      </c>
      <c r="B2825" t="s">
        <v>12</v>
      </c>
    </row>
    <row r="2826" spans="1:8" x14ac:dyDescent="0.2">
      <c r="A2826" t="s">
        <v>13</v>
      </c>
      <c r="B2826" t="s">
        <v>291</v>
      </c>
    </row>
    <row r="2827" spans="1:8" x14ac:dyDescent="0.2">
      <c r="A2827" t="s">
        <v>14</v>
      </c>
      <c r="B2827" t="s">
        <v>271</v>
      </c>
    </row>
    <row r="2828" spans="1:8" x14ac:dyDescent="0.2">
      <c r="A2828" t="s">
        <v>16</v>
      </c>
      <c r="B2828" t="s">
        <v>15</v>
      </c>
    </row>
    <row r="2829" spans="1:8" x14ac:dyDescent="0.2">
      <c r="A2829" t="s">
        <v>17</v>
      </c>
      <c r="B2829" t="s">
        <v>172</v>
      </c>
    </row>
    <row r="2830" spans="1:8" ht="16" x14ac:dyDescent="0.2">
      <c r="A2830" s="1" t="s">
        <v>18</v>
      </c>
    </row>
    <row r="2831" spans="1:8" x14ac:dyDescent="0.2">
      <c r="A2831" t="s">
        <v>19</v>
      </c>
      <c r="B2831" t="s">
        <v>20</v>
      </c>
      <c r="C2831" t="s">
        <v>5</v>
      </c>
      <c r="D2831" t="s">
        <v>10</v>
      </c>
      <c r="E2831" t="s">
        <v>22</v>
      </c>
      <c r="F2831" t="s">
        <v>8</v>
      </c>
      <c r="G2831" t="s">
        <v>7</v>
      </c>
      <c r="H2831" t="s">
        <v>23</v>
      </c>
    </row>
    <row r="2832" spans="1:8" x14ac:dyDescent="0.2">
      <c r="A2832" t="s">
        <v>61</v>
      </c>
      <c r="B2832">
        <v>120</v>
      </c>
      <c r="C2832" t="s">
        <v>33</v>
      </c>
      <c r="D2832" t="s">
        <v>27</v>
      </c>
      <c r="E2832" t="s">
        <v>15</v>
      </c>
      <c r="F2832" t="s">
        <v>28</v>
      </c>
      <c r="G2832" t="s">
        <v>61</v>
      </c>
      <c r="H2832" t="s">
        <v>62</v>
      </c>
    </row>
    <row r="2833" spans="1:8" x14ac:dyDescent="0.2">
      <c r="A2833" t="s">
        <v>272</v>
      </c>
      <c r="B2833">
        <v>1200</v>
      </c>
      <c r="C2833" t="s">
        <v>33</v>
      </c>
      <c r="D2833" t="s">
        <v>27</v>
      </c>
      <c r="E2833" t="s">
        <v>15</v>
      </c>
      <c r="F2833" t="s">
        <v>28</v>
      </c>
      <c r="G2833" t="s">
        <v>273</v>
      </c>
      <c r="H2833" t="s">
        <v>62</v>
      </c>
    </row>
    <row r="2834" spans="1:8" x14ac:dyDescent="0.2">
      <c r="A2834" t="s">
        <v>274</v>
      </c>
      <c r="B2834">
        <v>249.3340493738651</v>
      </c>
      <c r="C2834" t="s">
        <v>33</v>
      </c>
      <c r="D2834" t="s">
        <v>27</v>
      </c>
      <c r="E2834" t="s">
        <v>15</v>
      </c>
      <c r="F2834" t="s">
        <v>28</v>
      </c>
      <c r="G2834" t="s">
        <v>500</v>
      </c>
      <c r="H2834" t="s">
        <v>275</v>
      </c>
    </row>
    <row r="2835" spans="1:8" x14ac:dyDescent="0.2">
      <c r="A2835" t="s">
        <v>60</v>
      </c>
      <c r="B2835">
        <v>48.583333333333329</v>
      </c>
      <c r="C2835" t="s">
        <v>26</v>
      </c>
      <c r="D2835" t="s">
        <v>27</v>
      </c>
      <c r="E2835" t="s">
        <v>15</v>
      </c>
      <c r="F2835" t="s">
        <v>28</v>
      </c>
      <c r="G2835" t="s">
        <v>54</v>
      </c>
      <c r="H2835" t="s">
        <v>34</v>
      </c>
    </row>
    <row r="2836" spans="1:8" x14ac:dyDescent="0.2">
      <c r="A2836" t="s">
        <v>276</v>
      </c>
      <c r="B2836">
        <v>-1128.583333333333</v>
      </c>
      <c r="C2836" t="s">
        <v>33</v>
      </c>
      <c r="D2836" t="s">
        <v>27</v>
      </c>
      <c r="E2836" t="s">
        <v>15</v>
      </c>
      <c r="F2836" t="s">
        <v>28</v>
      </c>
      <c r="G2836" t="s">
        <v>277</v>
      </c>
      <c r="H2836" t="s">
        <v>25</v>
      </c>
    </row>
    <row r="2837" spans="1:8" x14ac:dyDescent="0.2">
      <c r="A2837" t="s">
        <v>501</v>
      </c>
      <c r="B2837">
        <v>-249.3340493738651</v>
      </c>
      <c r="C2837" t="s">
        <v>33</v>
      </c>
      <c r="D2837" t="s">
        <v>27</v>
      </c>
      <c r="E2837" t="s">
        <v>15</v>
      </c>
      <c r="F2837" t="s">
        <v>28</v>
      </c>
      <c r="G2837" t="s">
        <v>502</v>
      </c>
      <c r="H2837" t="s">
        <v>25</v>
      </c>
    </row>
    <row r="2838" spans="1:8" x14ac:dyDescent="0.2">
      <c r="A2838" t="s">
        <v>416</v>
      </c>
      <c r="B2838">
        <v>1</v>
      </c>
      <c r="C2838" t="s">
        <v>26</v>
      </c>
      <c r="D2838" t="s">
        <v>10</v>
      </c>
      <c r="E2838" t="s">
        <v>15</v>
      </c>
      <c r="F2838" t="s">
        <v>24</v>
      </c>
      <c r="G2838" t="s">
        <v>69</v>
      </c>
      <c r="H2838" t="s">
        <v>25</v>
      </c>
    </row>
    <row r="2840" spans="1:8" ht="16" x14ac:dyDescent="0.2">
      <c r="A2840" s="1" t="s">
        <v>4</v>
      </c>
      <c r="B2840" s="1" t="s">
        <v>376</v>
      </c>
    </row>
    <row r="2841" spans="1:8" x14ac:dyDescent="0.2">
      <c r="A2841" t="s">
        <v>5</v>
      </c>
      <c r="B2841" t="s">
        <v>26</v>
      </c>
    </row>
    <row r="2842" spans="1:8" x14ac:dyDescent="0.2">
      <c r="A2842" t="s">
        <v>6</v>
      </c>
      <c r="B2842">
        <v>1</v>
      </c>
    </row>
    <row r="2843" spans="1:8" x14ac:dyDescent="0.2">
      <c r="A2843" t="s">
        <v>7</v>
      </c>
      <c r="B2843" t="s">
        <v>71</v>
      </c>
    </row>
    <row r="2844" spans="1:8" x14ac:dyDescent="0.2">
      <c r="A2844" t="s">
        <v>8</v>
      </c>
      <c r="B2844" t="s">
        <v>9</v>
      </c>
    </row>
    <row r="2845" spans="1:8" x14ac:dyDescent="0.2">
      <c r="A2845" t="s">
        <v>10</v>
      </c>
      <c r="B2845" t="s">
        <v>10</v>
      </c>
    </row>
    <row r="2846" spans="1:8" x14ac:dyDescent="0.2">
      <c r="A2846" t="s">
        <v>11</v>
      </c>
      <c r="B2846" t="s">
        <v>12</v>
      </c>
    </row>
    <row r="2847" spans="1:8" x14ac:dyDescent="0.2">
      <c r="A2847" t="s">
        <v>13</v>
      </c>
      <c r="B2847" t="s">
        <v>291</v>
      </c>
    </row>
    <row r="2848" spans="1:8" x14ac:dyDescent="0.2">
      <c r="A2848" t="s">
        <v>14</v>
      </c>
      <c r="B2848" t="s">
        <v>271</v>
      </c>
    </row>
    <row r="2849" spans="1:8" x14ac:dyDescent="0.2">
      <c r="A2849" t="s">
        <v>16</v>
      </c>
      <c r="B2849" t="s">
        <v>15</v>
      </c>
    </row>
    <row r="2850" spans="1:8" x14ac:dyDescent="0.2">
      <c r="A2850" t="s">
        <v>17</v>
      </c>
      <c r="B2850" t="s">
        <v>173</v>
      </c>
    </row>
    <row r="2851" spans="1:8" ht="16" x14ac:dyDescent="0.2">
      <c r="A2851" s="1" t="s">
        <v>18</v>
      </c>
    </row>
    <row r="2852" spans="1:8" x14ac:dyDescent="0.2">
      <c r="A2852" t="s">
        <v>19</v>
      </c>
      <c r="B2852" t="s">
        <v>20</v>
      </c>
      <c r="C2852" t="s">
        <v>5</v>
      </c>
      <c r="D2852" t="s">
        <v>10</v>
      </c>
      <c r="E2852" t="s">
        <v>22</v>
      </c>
      <c r="F2852" t="s">
        <v>8</v>
      </c>
      <c r="G2852" t="s">
        <v>7</v>
      </c>
      <c r="H2852" t="s">
        <v>23</v>
      </c>
    </row>
    <row r="2853" spans="1:8" x14ac:dyDescent="0.2">
      <c r="A2853" t="s">
        <v>61</v>
      </c>
      <c r="B2853">
        <v>123.9130434782609</v>
      </c>
      <c r="C2853" t="s">
        <v>33</v>
      </c>
      <c r="D2853" t="s">
        <v>27</v>
      </c>
      <c r="E2853" t="s">
        <v>15</v>
      </c>
      <c r="F2853" t="s">
        <v>28</v>
      </c>
      <c r="G2853" t="s">
        <v>61</v>
      </c>
      <c r="H2853" t="s">
        <v>62</v>
      </c>
    </row>
    <row r="2854" spans="1:8" x14ac:dyDescent="0.2">
      <c r="A2854" t="s">
        <v>272</v>
      </c>
      <c r="B2854">
        <v>1200</v>
      </c>
      <c r="C2854" t="s">
        <v>33</v>
      </c>
      <c r="D2854" t="s">
        <v>27</v>
      </c>
      <c r="E2854" t="s">
        <v>15</v>
      </c>
      <c r="F2854" t="s">
        <v>28</v>
      </c>
      <c r="G2854" t="s">
        <v>273</v>
      </c>
      <c r="H2854" t="s">
        <v>62</v>
      </c>
    </row>
    <row r="2855" spans="1:8" x14ac:dyDescent="0.2">
      <c r="A2855" t="s">
        <v>274</v>
      </c>
      <c r="B2855">
        <v>247.10401432891521</v>
      </c>
      <c r="C2855" t="s">
        <v>33</v>
      </c>
      <c r="D2855" t="s">
        <v>27</v>
      </c>
      <c r="E2855" t="s">
        <v>15</v>
      </c>
      <c r="F2855" t="s">
        <v>28</v>
      </c>
      <c r="G2855" t="s">
        <v>500</v>
      </c>
      <c r="H2855" t="s">
        <v>275</v>
      </c>
    </row>
    <row r="2856" spans="1:8" x14ac:dyDescent="0.2">
      <c r="A2856" t="s">
        <v>60</v>
      </c>
      <c r="B2856">
        <v>48.693749999999987</v>
      </c>
      <c r="C2856" t="s">
        <v>26</v>
      </c>
      <c r="D2856" t="s">
        <v>27</v>
      </c>
      <c r="E2856" t="s">
        <v>15</v>
      </c>
      <c r="F2856" t="s">
        <v>28</v>
      </c>
      <c r="G2856" t="s">
        <v>54</v>
      </c>
      <c r="H2856" t="s">
        <v>34</v>
      </c>
    </row>
    <row r="2857" spans="1:8" x14ac:dyDescent="0.2">
      <c r="A2857" t="s">
        <v>276</v>
      </c>
      <c r="B2857">
        <v>-1124.7807065217389</v>
      </c>
      <c r="C2857" t="s">
        <v>33</v>
      </c>
      <c r="D2857" t="s">
        <v>27</v>
      </c>
      <c r="E2857" t="s">
        <v>15</v>
      </c>
      <c r="F2857" t="s">
        <v>28</v>
      </c>
      <c r="G2857" t="s">
        <v>277</v>
      </c>
      <c r="H2857" t="s">
        <v>25</v>
      </c>
    </row>
    <row r="2858" spans="1:8" x14ac:dyDescent="0.2">
      <c r="A2858" t="s">
        <v>501</v>
      </c>
      <c r="B2858">
        <v>-247.10401432891521</v>
      </c>
      <c r="C2858" t="s">
        <v>33</v>
      </c>
      <c r="D2858" t="s">
        <v>27</v>
      </c>
      <c r="E2858" t="s">
        <v>15</v>
      </c>
      <c r="F2858" t="s">
        <v>28</v>
      </c>
      <c r="G2858" t="s">
        <v>502</v>
      </c>
      <c r="H2858" t="s">
        <v>25</v>
      </c>
    </row>
    <row r="2859" spans="1:8" x14ac:dyDescent="0.2">
      <c r="A2859" t="s">
        <v>376</v>
      </c>
      <c r="B2859">
        <v>1</v>
      </c>
      <c r="C2859" t="s">
        <v>26</v>
      </c>
      <c r="D2859" t="s">
        <v>10</v>
      </c>
      <c r="E2859" t="s">
        <v>15</v>
      </c>
      <c r="F2859" t="s">
        <v>24</v>
      </c>
      <c r="G2859" t="s">
        <v>71</v>
      </c>
      <c r="H2859" t="s">
        <v>25</v>
      </c>
    </row>
    <row r="2861" spans="1:8" ht="16" x14ac:dyDescent="0.2">
      <c r="A2861" s="1" t="s">
        <v>4</v>
      </c>
      <c r="B2861" s="1" t="s">
        <v>320</v>
      </c>
    </row>
    <row r="2862" spans="1:8" x14ac:dyDescent="0.2">
      <c r="A2862" t="s">
        <v>5</v>
      </c>
      <c r="B2862" t="s">
        <v>26</v>
      </c>
    </row>
    <row r="2863" spans="1:8" x14ac:dyDescent="0.2">
      <c r="A2863" t="s">
        <v>6</v>
      </c>
      <c r="B2863">
        <v>1</v>
      </c>
    </row>
    <row r="2864" spans="1:8" x14ac:dyDescent="0.2">
      <c r="A2864" t="s">
        <v>7</v>
      </c>
      <c r="B2864" t="s">
        <v>73</v>
      </c>
    </row>
    <row r="2865" spans="1:8" x14ac:dyDescent="0.2">
      <c r="A2865" t="s">
        <v>8</v>
      </c>
      <c r="B2865" t="s">
        <v>9</v>
      </c>
    </row>
    <row r="2866" spans="1:8" x14ac:dyDescent="0.2">
      <c r="A2866" t="s">
        <v>10</v>
      </c>
      <c r="B2866" t="s">
        <v>10</v>
      </c>
    </row>
    <row r="2867" spans="1:8" x14ac:dyDescent="0.2">
      <c r="A2867" t="s">
        <v>11</v>
      </c>
      <c r="B2867" t="s">
        <v>12</v>
      </c>
    </row>
    <row r="2868" spans="1:8" x14ac:dyDescent="0.2">
      <c r="A2868" t="s">
        <v>13</v>
      </c>
      <c r="B2868" t="s">
        <v>291</v>
      </c>
    </row>
    <row r="2869" spans="1:8" x14ac:dyDescent="0.2">
      <c r="A2869" t="s">
        <v>14</v>
      </c>
      <c r="B2869" t="s">
        <v>271</v>
      </c>
    </row>
    <row r="2870" spans="1:8" x14ac:dyDescent="0.2">
      <c r="A2870" t="s">
        <v>16</v>
      </c>
      <c r="B2870" t="s">
        <v>15</v>
      </c>
    </row>
    <row r="2871" spans="1:8" x14ac:dyDescent="0.2">
      <c r="A2871" t="s">
        <v>17</v>
      </c>
      <c r="B2871" t="s">
        <v>174</v>
      </c>
    </row>
    <row r="2872" spans="1:8" ht="16" x14ac:dyDescent="0.2">
      <c r="A2872" s="1" t="s">
        <v>18</v>
      </c>
    </row>
    <row r="2873" spans="1:8" x14ac:dyDescent="0.2">
      <c r="A2873" t="s">
        <v>19</v>
      </c>
      <c r="B2873" t="s">
        <v>20</v>
      </c>
      <c r="C2873" t="s">
        <v>5</v>
      </c>
      <c r="D2873" t="s">
        <v>10</v>
      </c>
      <c r="E2873" t="s">
        <v>22</v>
      </c>
      <c r="F2873" t="s">
        <v>8</v>
      </c>
      <c r="G2873" t="s">
        <v>7</v>
      </c>
      <c r="H2873" t="s">
        <v>23</v>
      </c>
    </row>
    <row r="2874" spans="1:8" x14ac:dyDescent="0.2">
      <c r="A2874" t="s">
        <v>61</v>
      </c>
      <c r="B2874">
        <v>127.82608695652181</v>
      </c>
      <c r="C2874" t="s">
        <v>33</v>
      </c>
      <c r="D2874" t="s">
        <v>27</v>
      </c>
      <c r="E2874" t="s">
        <v>15</v>
      </c>
      <c r="F2874" t="s">
        <v>28</v>
      </c>
      <c r="G2874" t="s">
        <v>61</v>
      </c>
      <c r="H2874" t="s">
        <v>62</v>
      </c>
    </row>
    <row r="2875" spans="1:8" x14ac:dyDescent="0.2">
      <c r="A2875" t="s">
        <v>272</v>
      </c>
      <c r="B2875">
        <v>1200</v>
      </c>
      <c r="C2875" t="s">
        <v>33</v>
      </c>
      <c r="D2875" t="s">
        <v>27</v>
      </c>
      <c r="E2875" t="s">
        <v>15</v>
      </c>
      <c r="F2875" t="s">
        <v>28</v>
      </c>
      <c r="G2875" t="s">
        <v>273</v>
      </c>
      <c r="H2875" t="s">
        <v>62</v>
      </c>
    </row>
    <row r="2876" spans="1:8" x14ac:dyDescent="0.2">
      <c r="A2876" t="s">
        <v>274</v>
      </c>
      <c r="B2876">
        <v>244.880347593777</v>
      </c>
      <c r="C2876" t="s">
        <v>33</v>
      </c>
      <c r="D2876" t="s">
        <v>27</v>
      </c>
      <c r="E2876" t="s">
        <v>15</v>
      </c>
      <c r="F2876" t="s">
        <v>28</v>
      </c>
      <c r="G2876" t="s">
        <v>500</v>
      </c>
      <c r="H2876" t="s">
        <v>275</v>
      </c>
    </row>
    <row r="2877" spans="1:8" x14ac:dyDescent="0.2">
      <c r="A2877" t="s">
        <v>60</v>
      </c>
      <c r="B2877">
        <v>48.80416666666666</v>
      </c>
      <c r="C2877" t="s">
        <v>26</v>
      </c>
      <c r="D2877" t="s">
        <v>27</v>
      </c>
      <c r="E2877" t="s">
        <v>15</v>
      </c>
      <c r="F2877" t="s">
        <v>28</v>
      </c>
      <c r="G2877" t="s">
        <v>54</v>
      </c>
      <c r="H2877" t="s">
        <v>34</v>
      </c>
    </row>
    <row r="2878" spans="1:8" x14ac:dyDescent="0.2">
      <c r="A2878" t="s">
        <v>276</v>
      </c>
      <c r="B2878">
        <v>-1120.978079710145</v>
      </c>
      <c r="C2878" t="s">
        <v>33</v>
      </c>
      <c r="D2878" t="s">
        <v>27</v>
      </c>
      <c r="E2878" t="s">
        <v>15</v>
      </c>
      <c r="F2878" t="s">
        <v>28</v>
      </c>
      <c r="G2878" t="s">
        <v>277</v>
      </c>
      <c r="H2878" t="s">
        <v>25</v>
      </c>
    </row>
    <row r="2879" spans="1:8" x14ac:dyDescent="0.2">
      <c r="A2879" t="s">
        <v>501</v>
      </c>
      <c r="B2879">
        <v>-244.880347593777</v>
      </c>
      <c r="C2879" t="s">
        <v>33</v>
      </c>
      <c r="D2879" t="s">
        <v>27</v>
      </c>
      <c r="E2879" t="s">
        <v>15</v>
      </c>
      <c r="F2879" t="s">
        <v>28</v>
      </c>
      <c r="G2879" t="s">
        <v>502</v>
      </c>
      <c r="H2879" t="s">
        <v>25</v>
      </c>
    </row>
    <row r="2880" spans="1:8" x14ac:dyDescent="0.2">
      <c r="A2880" t="s">
        <v>320</v>
      </c>
      <c r="B2880">
        <v>1</v>
      </c>
      <c r="C2880" t="s">
        <v>26</v>
      </c>
      <c r="D2880" t="s">
        <v>10</v>
      </c>
      <c r="E2880" t="s">
        <v>15</v>
      </c>
      <c r="F2880" t="s">
        <v>24</v>
      </c>
      <c r="G2880" t="s">
        <v>73</v>
      </c>
      <c r="H2880" t="s">
        <v>25</v>
      </c>
    </row>
    <row r="2883" spans="1:8" ht="16" x14ac:dyDescent="0.2">
      <c r="A2883" s="1" t="s">
        <v>4</v>
      </c>
      <c r="B2883" s="1" t="s">
        <v>465</v>
      </c>
    </row>
    <row r="2884" spans="1:8" x14ac:dyDescent="0.2">
      <c r="A2884" t="s">
        <v>5</v>
      </c>
      <c r="B2884" t="s">
        <v>26</v>
      </c>
    </row>
    <row r="2885" spans="1:8" x14ac:dyDescent="0.2">
      <c r="A2885" t="s">
        <v>6</v>
      </c>
      <c r="B2885">
        <v>1</v>
      </c>
    </row>
    <row r="2886" spans="1:8" x14ac:dyDescent="0.2">
      <c r="A2886" t="s">
        <v>7</v>
      </c>
      <c r="B2886" t="s">
        <v>65</v>
      </c>
    </row>
    <row r="2887" spans="1:8" x14ac:dyDescent="0.2">
      <c r="A2887" t="s">
        <v>8</v>
      </c>
      <c r="B2887" t="s">
        <v>9</v>
      </c>
    </row>
    <row r="2888" spans="1:8" x14ac:dyDescent="0.2">
      <c r="A2888" t="s">
        <v>10</v>
      </c>
      <c r="B2888" t="s">
        <v>10</v>
      </c>
    </row>
    <row r="2889" spans="1:8" x14ac:dyDescent="0.2">
      <c r="A2889" t="s">
        <v>11</v>
      </c>
      <c r="B2889" t="s">
        <v>12</v>
      </c>
    </row>
    <row r="2890" spans="1:8" x14ac:dyDescent="0.2">
      <c r="A2890" t="s">
        <v>13</v>
      </c>
      <c r="B2890" t="s">
        <v>291</v>
      </c>
    </row>
    <row r="2891" spans="1:8" x14ac:dyDescent="0.2">
      <c r="A2891" t="s">
        <v>14</v>
      </c>
      <c r="B2891" t="s">
        <v>271</v>
      </c>
    </row>
    <row r="2892" spans="1:8" x14ac:dyDescent="0.2">
      <c r="A2892" t="s">
        <v>16</v>
      </c>
      <c r="B2892" t="s">
        <v>15</v>
      </c>
    </row>
    <row r="2893" spans="1:8" x14ac:dyDescent="0.2">
      <c r="A2893" t="s">
        <v>17</v>
      </c>
      <c r="B2893" t="s">
        <v>175</v>
      </c>
    </row>
    <row r="2894" spans="1:8" ht="16" x14ac:dyDescent="0.2">
      <c r="A2894" s="1" t="s">
        <v>18</v>
      </c>
    </row>
    <row r="2895" spans="1:8" x14ac:dyDescent="0.2">
      <c r="A2895" t="s">
        <v>19</v>
      </c>
      <c r="B2895" t="s">
        <v>20</v>
      </c>
      <c r="C2895" t="s">
        <v>5</v>
      </c>
      <c r="D2895" t="s">
        <v>10</v>
      </c>
      <c r="E2895" t="s">
        <v>22</v>
      </c>
      <c r="F2895" t="s">
        <v>8</v>
      </c>
      <c r="G2895" t="s">
        <v>7</v>
      </c>
      <c r="H2895" t="s">
        <v>23</v>
      </c>
    </row>
    <row r="2896" spans="1:8" x14ac:dyDescent="0.2">
      <c r="A2896" t="s">
        <v>61</v>
      </c>
      <c r="B2896">
        <v>120</v>
      </c>
      <c r="C2896" t="s">
        <v>33</v>
      </c>
      <c r="D2896" t="s">
        <v>27</v>
      </c>
      <c r="E2896" t="s">
        <v>15</v>
      </c>
      <c r="F2896" t="s">
        <v>28</v>
      </c>
      <c r="G2896" t="s">
        <v>61</v>
      </c>
      <c r="H2896" t="s">
        <v>62</v>
      </c>
    </row>
    <row r="2897" spans="1:8" x14ac:dyDescent="0.2">
      <c r="A2897" t="s">
        <v>272</v>
      </c>
      <c r="B2897">
        <v>1200</v>
      </c>
      <c r="C2897" t="s">
        <v>33</v>
      </c>
      <c r="D2897" t="s">
        <v>27</v>
      </c>
      <c r="E2897" t="s">
        <v>15</v>
      </c>
      <c r="F2897" t="s">
        <v>28</v>
      </c>
      <c r="G2897" t="s">
        <v>273</v>
      </c>
      <c r="H2897" t="s">
        <v>62</v>
      </c>
    </row>
    <row r="2898" spans="1:8" x14ac:dyDescent="0.2">
      <c r="A2898" t="s">
        <v>274</v>
      </c>
      <c r="B2898">
        <v>272.84762103638758</v>
      </c>
      <c r="C2898" t="s">
        <v>33</v>
      </c>
      <c r="D2898" t="s">
        <v>27</v>
      </c>
      <c r="E2898" t="s">
        <v>15</v>
      </c>
      <c r="F2898" t="s">
        <v>28</v>
      </c>
      <c r="G2898" t="s">
        <v>500</v>
      </c>
      <c r="H2898" t="s">
        <v>275</v>
      </c>
    </row>
    <row r="2899" spans="1:8" x14ac:dyDescent="0.2">
      <c r="A2899" t="s">
        <v>60</v>
      </c>
      <c r="B2899">
        <v>55.283333333333331</v>
      </c>
      <c r="C2899" t="s">
        <v>26</v>
      </c>
      <c r="D2899" t="s">
        <v>27</v>
      </c>
      <c r="E2899" t="s">
        <v>15</v>
      </c>
      <c r="F2899" t="s">
        <v>28</v>
      </c>
      <c r="G2899" t="s">
        <v>54</v>
      </c>
      <c r="H2899" t="s">
        <v>34</v>
      </c>
    </row>
    <row r="2900" spans="1:8" x14ac:dyDescent="0.2">
      <c r="A2900" t="s">
        <v>276</v>
      </c>
      <c r="B2900">
        <v>-1135.2833333333331</v>
      </c>
      <c r="C2900" t="s">
        <v>33</v>
      </c>
      <c r="D2900" t="s">
        <v>27</v>
      </c>
      <c r="E2900" t="s">
        <v>15</v>
      </c>
      <c r="F2900" t="s">
        <v>28</v>
      </c>
      <c r="G2900" t="s">
        <v>277</v>
      </c>
      <c r="H2900" t="s">
        <v>25</v>
      </c>
    </row>
    <row r="2901" spans="1:8" x14ac:dyDescent="0.2">
      <c r="A2901" t="s">
        <v>501</v>
      </c>
      <c r="B2901">
        <v>-272.84762103638758</v>
      </c>
      <c r="C2901" t="s">
        <v>33</v>
      </c>
      <c r="D2901" t="s">
        <v>27</v>
      </c>
      <c r="E2901" t="s">
        <v>15</v>
      </c>
      <c r="F2901" t="s">
        <v>28</v>
      </c>
      <c r="G2901" t="s">
        <v>502</v>
      </c>
      <c r="H2901" t="s">
        <v>25</v>
      </c>
    </row>
    <row r="2902" spans="1:8" x14ac:dyDescent="0.2">
      <c r="A2902" t="s">
        <v>465</v>
      </c>
      <c r="B2902">
        <v>1</v>
      </c>
      <c r="C2902" t="s">
        <v>26</v>
      </c>
      <c r="D2902" t="s">
        <v>10</v>
      </c>
      <c r="E2902" t="s">
        <v>15</v>
      </c>
      <c r="F2902" t="s">
        <v>24</v>
      </c>
      <c r="G2902" t="s">
        <v>65</v>
      </c>
      <c r="H2902" t="s">
        <v>25</v>
      </c>
    </row>
    <row r="2904" spans="1:8" ht="16" x14ac:dyDescent="0.2">
      <c r="A2904" s="1" t="s">
        <v>4</v>
      </c>
      <c r="B2904" s="1" t="s">
        <v>441</v>
      </c>
    </row>
    <row r="2905" spans="1:8" x14ac:dyDescent="0.2">
      <c r="A2905" t="s">
        <v>5</v>
      </c>
      <c r="B2905" t="s">
        <v>26</v>
      </c>
    </row>
    <row r="2906" spans="1:8" x14ac:dyDescent="0.2">
      <c r="A2906" t="s">
        <v>6</v>
      </c>
      <c r="B2906">
        <v>1</v>
      </c>
    </row>
    <row r="2907" spans="1:8" x14ac:dyDescent="0.2">
      <c r="A2907" t="s">
        <v>7</v>
      </c>
      <c r="B2907" t="s">
        <v>67</v>
      </c>
    </row>
    <row r="2908" spans="1:8" x14ac:dyDescent="0.2">
      <c r="A2908" t="s">
        <v>8</v>
      </c>
      <c r="B2908" t="s">
        <v>9</v>
      </c>
    </row>
    <row r="2909" spans="1:8" x14ac:dyDescent="0.2">
      <c r="A2909" t="s">
        <v>10</v>
      </c>
      <c r="B2909" t="s">
        <v>10</v>
      </c>
    </row>
    <row r="2910" spans="1:8" x14ac:dyDescent="0.2">
      <c r="A2910" t="s">
        <v>11</v>
      </c>
      <c r="B2910" t="s">
        <v>12</v>
      </c>
    </row>
    <row r="2911" spans="1:8" x14ac:dyDescent="0.2">
      <c r="A2911" t="s">
        <v>13</v>
      </c>
      <c r="B2911" t="s">
        <v>291</v>
      </c>
    </row>
    <row r="2912" spans="1:8" x14ac:dyDescent="0.2">
      <c r="A2912" t="s">
        <v>14</v>
      </c>
      <c r="B2912" t="s">
        <v>271</v>
      </c>
    </row>
    <row r="2913" spans="1:8" x14ac:dyDescent="0.2">
      <c r="A2913" t="s">
        <v>16</v>
      </c>
      <c r="B2913" t="s">
        <v>15</v>
      </c>
    </row>
    <row r="2914" spans="1:8" x14ac:dyDescent="0.2">
      <c r="A2914" t="s">
        <v>17</v>
      </c>
      <c r="B2914" t="s">
        <v>176</v>
      </c>
    </row>
    <row r="2915" spans="1:8" ht="16" x14ac:dyDescent="0.2">
      <c r="A2915" s="1" t="s">
        <v>18</v>
      </c>
    </row>
    <row r="2916" spans="1:8" x14ac:dyDescent="0.2">
      <c r="A2916" t="s">
        <v>19</v>
      </c>
      <c r="B2916" t="s">
        <v>20</v>
      </c>
      <c r="C2916" t="s">
        <v>5</v>
      </c>
      <c r="D2916" t="s">
        <v>10</v>
      </c>
      <c r="E2916" t="s">
        <v>22</v>
      </c>
      <c r="F2916" t="s">
        <v>8</v>
      </c>
      <c r="G2916" t="s">
        <v>7</v>
      </c>
      <c r="H2916" t="s">
        <v>23</v>
      </c>
    </row>
    <row r="2917" spans="1:8" x14ac:dyDescent="0.2">
      <c r="A2917" t="s">
        <v>61</v>
      </c>
      <c r="B2917">
        <v>120</v>
      </c>
      <c r="C2917" t="s">
        <v>33</v>
      </c>
      <c r="D2917" t="s">
        <v>27</v>
      </c>
      <c r="E2917" t="s">
        <v>15</v>
      </c>
      <c r="F2917" t="s">
        <v>28</v>
      </c>
      <c r="G2917" t="s">
        <v>61</v>
      </c>
      <c r="H2917" t="s">
        <v>62</v>
      </c>
    </row>
    <row r="2918" spans="1:8" x14ac:dyDescent="0.2">
      <c r="A2918" t="s">
        <v>272</v>
      </c>
      <c r="B2918">
        <v>1200</v>
      </c>
      <c r="C2918" t="s">
        <v>33</v>
      </c>
      <c r="D2918" t="s">
        <v>27</v>
      </c>
      <c r="E2918" t="s">
        <v>15</v>
      </c>
      <c r="F2918" t="s">
        <v>28</v>
      </c>
      <c r="G2918" t="s">
        <v>273</v>
      </c>
      <c r="H2918" t="s">
        <v>62</v>
      </c>
    </row>
    <row r="2919" spans="1:8" x14ac:dyDescent="0.2">
      <c r="A2919" t="s">
        <v>274</v>
      </c>
      <c r="B2919">
        <v>272.10178248737151</v>
      </c>
      <c r="C2919" t="s">
        <v>33</v>
      </c>
      <c r="D2919" t="s">
        <v>27</v>
      </c>
      <c r="E2919" t="s">
        <v>15</v>
      </c>
      <c r="F2919" t="s">
        <v>28</v>
      </c>
      <c r="G2919" t="s">
        <v>500</v>
      </c>
      <c r="H2919" t="s">
        <v>275</v>
      </c>
    </row>
    <row r="2920" spans="1:8" x14ac:dyDescent="0.2">
      <c r="A2920" t="s">
        <v>60</v>
      </c>
      <c r="B2920">
        <v>52.162499999999987</v>
      </c>
      <c r="C2920" t="s">
        <v>26</v>
      </c>
      <c r="D2920" t="s">
        <v>27</v>
      </c>
      <c r="E2920" t="s">
        <v>15</v>
      </c>
      <c r="F2920" t="s">
        <v>28</v>
      </c>
      <c r="G2920" t="s">
        <v>54</v>
      </c>
      <c r="H2920" t="s">
        <v>34</v>
      </c>
    </row>
    <row r="2921" spans="1:8" x14ac:dyDescent="0.2">
      <c r="A2921" t="s">
        <v>276</v>
      </c>
      <c r="B2921">
        <v>-1132.1624999999999</v>
      </c>
      <c r="C2921" t="s">
        <v>33</v>
      </c>
      <c r="D2921" t="s">
        <v>27</v>
      </c>
      <c r="E2921" t="s">
        <v>15</v>
      </c>
      <c r="F2921" t="s">
        <v>28</v>
      </c>
      <c r="G2921" t="s">
        <v>277</v>
      </c>
      <c r="H2921" t="s">
        <v>25</v>
      </c>
    </row>
    <row r="2922" spans="1:8" x14ac:dyDescent="0.2">
      <c r="A2922" t="s">
        <v>501</v>
      </c>
      <c r="B2922">
        <v>-272.10178248737151</v>
      </c>
      <c r="C2922" t="s">
        <v>33</v>
      </c>
      <c r="D2922" t="s">
        <v>27</v>
      </c>
      <c r="E2922" t="s">
        <v>15</v>
      </c>
      <c r="F2922" t="s">
        <v>28</v>
      </c>
      <c r="G2922" t="s">
        <v>502</v>
      </c>
      <c r="H2922" t="s">
        <v>25</v>
      </c>
    </row>
    <row r="2923" spans="1:8" x14ac:dyDescent="0.2">
      <c r="A2923" t="s">
        <v>441</v>
      </c>
      <c r="B2923">
        <v>1</v>
      </c>
      <c r="C2923" t="s">
        <v>26</v>
      </c>
      <c r="D2923" t="s">
        <v>10</v>
      </c>
      <c r="E2923" t="s">
        <v>15</v>
      </c>
      <c r="F2923" t="s">
        <v>24</v>
      </c>
      <c r="G2923" t="s">
        <v>67</v>
      </c>
      <c r="H2923" t="s">
        <v>25</v>
      </c>
    </row>
    <row r="2925" spans="1:8" ht="16" x14ac:dyDescent="0.2">
      <c r="A2925" s="1" t="s">
        <v>4</v>
      </c>
      <c r="B2925" s="1" t="s">
        <v>417</v>
      </c>
    </row>
    <row r="2926" spans="1:8" x14ac:dyDescent="0.2">
      <c r="A2926" t="s">
        <v>5</v>
      </c>
      <c r="B2926" t="s">
        <v>26</v>
      </c>
    </row>
    <row r="2927" spans="1:8" x14ac:dyDescent="0.2">
      <c r="A2927" t="s">
        <v>6</v>
      </c>
      <c r="B2927">
        <v>1</v>
      </c>
    </row>
    <row r="2928" spans="1:8" x14ac:dyDescent="0.2">
      <c r="A2928" t="s">
        <v>7</v>
      </c>
      <c r="B2928" t="s">
        <v>69</v>
      </c>
    </row>
    <row r="2929" spans="1:8" x14ac:dyDescent="0.2">
      <c r="A2929" t="s">
        <v>8</v>
      </c>
      <c r="B2929" t="s">
        <v>9</v>
      </c>
    </row>
    <row r="2930" spans="1:8" x14ac:dyDescent="0.2">
      <c r="A2930" t="s">
        <v>10</v>
      </c>
      <c r="B2930" t="s">
        <v>10</v>
      </c>
    </row>
    <row r="2931" spans="1:8" x14ac:dyDescent="0.2">
      <c r="A2931" t="s">
        <v>11</v>
      </c>
      <c r="B2931" t="s">
        <v>12</v>
      </c>
    </row>
    <row r="2932" spans="1:8" x14ac:dyDescent="0.2">
      <c r="A2932" t="s">
        <v>13</v>
      </c>
      <c r="B2932" t="s">
        <v>291</v>
      </c>
    </row>
    <row r="2933" spans="1:8" x14ac:dyDescent="0.2">
      <c r="A2933" t="s">
        <v>14</v>
      </c>
      <c r="B2933" t="s">
        <v>271</v>
      </c>
    </row>
    <row r="2934" spans="1:8" x14ac:dyDescent="0.2">
      <c r="A2934" t="s">
        <v>16</v>
      </c>
      <c r="B2934" t="s">
        <v>15</v>
      </c>
    </row>
    <row r="2935" spans="1:8" x14ac:dyDescent="0.2">
      <c r="A2935" t="s">
        <v>17</v>
      </c>
      <c r="B2935" t="s">
        <v>177</v>
      </c>
    </row>
    <row r="2936" spans="1:8" ht="16" x14ac:dyDescent="0.2">
      <c r="A2936" s="1" t="s">
        <v>18</v>
      </c>
    </row>
    <row r="2937" spans="1:8" x14ac:dyDescent="0.2">
      <c r="A2937" t="s">
        <v>19</v>
      </c>
      <c r="B2937" t="s">
        <v>20</v>
      </c>
      <c r="C2937" t="s">
        <v>5</v>
      </c>
      <c r="D2937" t="s">
        <v>10</v>
      </c>
      <c r="E2937" t="s">
        <v>22</v>
      </c>
      <c r="F2937" t="s">
        <v>8</v>
      </c>
      <c r="G2937" t="s">
        <v>7</v>
      </c>
      <c r="H2937" t="s">
        <v>23</v>
      </c>
    </row>
    <row r="2938" spans="1:8" x14ac:dyDescent="0.2">
      <c r="A2938" t="s">
        <v>61</v>
      </c>
      <c r="B2938">
        <v>120</v>
      </c>
      <c r="C2938" t="s">
        <v>33</v>
      </c>
      <c r="D2938" t="s">
        <v>27</v>
      </c>
      <c r="E2938" t="s">
        <v>15</v>
      </c>
      <c r="F2938" t="s">
        <v>28</v>
      </c>
      <c r="G2938" t="s">
        <v>61</v>
      </c>
      <c r="H2938" t="s">
        <v>62</v>
      </c>
    </row>
    <row r="2939" spans="1:8" x14ac:dyDescent="0.2">
      <c r="A2939" t="s">
        <v>272</v>
      </c>
      <c r="B2939">
        <v>1200</v>
      </c>
      <c r="C2939" t="s">
        <v>33</v>
      </c>
      <c r="D2939" t="s">
        <v>27</v>
      </c>
      <c r="E2939" t="s">
        <v>15</v>
      </c>
      <c r="F2939" t="s">
        <v>28</v>
      </c>
      <c r="G2939" t="s">
        <v>273</v>
      </c>
      <c r="H2939" t="s">
        <v>62</v>
      </c>
    </row>
    <row r="2940" spans="1:8" x14ac:dyDescent="0.2">
      <c r="A2940" t="s">
        <v>274</v>
      </c>
      <c r="B2940">
        <v>271.35594393835532</v>
      </c>
      <c r="C2940" t="s">
        <v>33</v>
      </c>
      <c r="D2940" t="s">
        <v>27</v>
      </c>
      <c r="E2940" t="s">
        <v>15</v>
      </c>
      <c r="F2940" t="s">
        <v>28</v>
      </c>
      <c r="G2940" t="s">
        <v>500</v>
      </c>
      <c r="H2940" t="s">
        <v>275</v>
      </c>
    </row>
    <row r="2941" spans="1:8" x14ac:dyDescent="0.2">
      <c r="A2941" t="s">
        <v>60</v>
      </c>
      <c r="B2941">
        <v>49.041666666666657</v>
      </c>
      <c r="C2941" t="s">
        <v>26</v>
      </c>
      <c r="D2941" t="s">
        <v>27</v>
      </c>
      <c r="E2941" t="s">
        <v>15</v>
      </c>
      <c r="F2941" t="s">
        <v>28</v>
      </c>
      <c r="G2941" t="s">
        <v>54</v>
      </c>
      <c r="H2941" t="s">
        <v>34</v>
      </c>
    </row>
    <row r="2942" spans="1:8" x14ac:dyDescent="0.2">
      <c r="A2942" t="s">
        <v>276</v>
      </c>
      <c r="B2942">
        <v>-1129.041666666667</v>
      </c>
      <c r="C2942" t="s">
        <v>33</v>
      </c>
      <c r="D2942" t="s">
        <v>27</v>
      </c>
      <c r="E2942" t="s">
        <v>15</v>
      </c>
      <c r="F2942" t="s">
        <v>28</v>
      </c>
      <c r="G2942" t="s">
        <v>277</v>
      </c>
      <c r="H2942" t="s">
        <v>25</v>
      </c>
    </row>
    <row r="2943" spans="1:8" x14ac:dyDescent="0.2">
      <c r="A2943" t="s">
        <v>501</v>
      </c>
      <c r="B2943">
        <v>-271.35594393835532</v>
      </c>
      <c r="C2943" t="s">
        <v>33</v>
      </c>
      <c r="D2943" t="s">
        <v>27</v>
      </c>
      <c r="E2943" t="s">
        <v>15</v>
      </c>
      <c r="F2943" t="s">
        <v>28</v>
      </c>
      <c r="G2943" t="s">
        <v>502</v>
      </c>
      <c r="H2943" t="s">
        <v>25</v>
      </c>
    </row>
    <row r="2944" spans="1:8" x14ac:dyDescent="0.2">
      <c r="A2944" t="s">
        <v>417</v>
      </c>
      <c r="B2944">
        <v>1</v>
      </c>
      <c r="C2944" t="s">
        <v>26</v>
      </c>
      <c r="D2944" t="s">
        <v>10</v>
      </c>
      <c r="E2944" t="s">
        <v>15</v>
      </c>
      <c r="F2944" t="s">
        <v>24</v>
      </c>
      <c r="G2944" t="s">
        <v>69</v>
      </c>
      <c r="H2944" t="s">
        <v>25</v>
      </c>
    </row>
    <row r="2946" spans="1:8" ht="16" x14ac:dyDescent="0.2">
      <c r="A2946" s="1" t="s">
        <v>4</v>
      </c>
      <c r="B2946" s="1" t="s">
        <v>377</v>
      </c>
    </row>
    <row r="2947" spans="1:8" x14ac:dyDescent="0.2">
      <c r="A2947" t="s">
        <v>5</v>
      </c>
      <c r="B2947" t="s">
        <v>26</v>
      </c>
    </row>
    <row r="2948" spans="1:8" x14ac:dyDescent="0.2">
      <c r="A2948" t="s">
        <v>6</v>
      </c>
      <c r="B2948">
        <v>1</v>
      </c>
    </row>
    <row r="2949" spans="1:8" x14ac:dyDescent="0.2">
      <c r="A2949" t="s">
        <v>7</v>
      </c>
      <c r="B2949" t="s">
        <v>71</v>
      </c>
    </row>
    <row r="2950" spans="1:8" x14ac:dyDescent="0.2">
      <c r="A2950" t="s">
        <v>8</v>
      </c>
      <c r="B2950" t="s">
        <v>9</v>
      </c>
    </row>
    <row r="2951" spans="1:8" x14ac:dyDescent="0.2">
      <c r="A2951" t="s">
        <v>10</v>
      </c>
      <c r="B2951" t="s">
        <v>10</v>
      </c>
    </row>
    <row r="2952" spans="1:8" x14ac:dyDescent="0.2">
      <c r="A2952" t="s">
        <v>11</v>
      </c>
      <c r="B2952" t="s">
        <v>12</v>
      </c>
    </row>
    <row r="2953" spans="1:8" x14ac:dyDescent="0.2">
      <c r="A2953" t="s">
        <v>13</v>
      </c>
      <c r="B2953" t="s">
        <v>291</v>
      </c>
    </row>
    <row r="2954" spans="1:8" x14ac:dyDescent="0.2">
      <c r="A2954" t="s">
        <v>14</v>
      </c>
      <c r="B2954" t="s">
        <v>271</v>
      </c>
    </row>
    <row r="2955" spans="1:8" x14ac:dyDescent="0.2">
      <c r="A2955" t="s">
        <v>16</v>
      </c>
      <c r="B2955" t="s">
        <v>15</v>
      </c>
    </row>
    <row r="2956" spans="1:8" x14ac:dyDescent="0.2">
      <c r="A2956" t="s">
        <v>17</v>
      </c>
      <c r="B2956" t="s">
        <v>178</v>
      </c>
    </row>
    <row r="2957" spans="1:8" ht="16" x14ac:dyDescent="0.2">
      <c r="A2957" s="1" t="s">
        <v>18</v>
      </c>
    </row>
    <row r="2958" spans="1:8" x14ac:dyDescent="0.2">
      <c r="A2958" t="s">
        <v>19</v>
      </c>
      <c r="B2958" t="s">
        <v>20</v>
      </c>
      <c r="C2958" t="s">
        <v>5</v>
      </c>
      <c r="D2958" t="s">
        <v>10</v>
      </c>
      <c r="E2958" t="s">
        <v>22</v>
      </c>
      <c r="F2958" t="s">
        <v>8</v>
      </c>
      <c r="G2958" t="s">
        <v>7</v>
      </c>
      <c r="H2958" t="s">
        <v>23</v>
      </c>
    </row>
    <row r="2959" spans="1:8" x14ac:dyDescent="0.2">
      <c r="A2959" t="s">
        <v>61</v>
      </c>
      <c r="B2959">
        <v>123.9130434782609</v>
      </c>
      <c r="C2959" t="s">
        <v>33</v>
      </c>
      <c r="D2959" t="s">
        <v>27</v>
      </c>
      <c r="E2959" t="s">
        <v>15</v>
      </c>
      <c r="F2959" t="s">
        <v>28</v>
      </c>
      <c r="G2959" t="s">
        <v>61</v>
      </c>
      <c r="H2959" t="s">
        <v>62</v>
      </c>
    </row>
    <row r="2960" spans="1:8" x14ac:dyDescent="0.2">
      <c r="A2960" t="s">
        <v>272</v>
      </c>
      <c r="B2960">
        <v>1200</v>
      </c>
      <c r="C2960" t="s">
        <v>33</v>
      </c>
      <c r="D2960" t="s">
        <v>27</v>
      </c>
      <c r="E2960" t="s">
        <v>15</v>
      </c>
      <c r="F2960" t="s">
        <v>28</v>
      </c>
      <c r="G2960" t="s">
        <v>273</v>
      </c>
      <c r="H2960" t="s">
        <v>62</v>
      </c>
    </row>
    <row r="2961" spans="1:8" x14ac:dyDescent="0.2">
      <c r="A2961" t="s">
        <v>274</v>
      </c>
      <c r="B2961">
        <v>269.0645578680377</v>
      </c>
      <c r="C2961" t="s">
        <v>33</v>
      </c>
      <c r="D2961" t="s">
        <v>27</v>
      </c>
      <c r="E2961" t="s">
        <v>15</v>
      </c>
      <c r="F2961" t="s">
        <v>28</v>
      </c>
      <c r="G2961" t="s">
        <v>500</v>
      </c>
      <c r="H2961" t="s">
        <v>275</v>
      </c>
    </row>
    <row r="2962" spans="1:8" x14ac:dyDescent="0.2">
      <c r="A2962" t="s">
        <v>60</v>
      </c>
      <c r="B2962">
        <v>49.153125000000003</v>
      </c>
      <c r="C2962" t="s">
        <v>26</v>
      </c>
      <c r="D2962" t="s">
        <v>27</v>
      </c>
      <c r="E2962" t="s">
        <v>15</v>
      </c>
      <c r="F2962" t="s">
        <v>28</v>
      </c>
      <c r="G2962" t="s">
        <v>54</v>
      </c>
      <c r="H2962" t="s">
        <v>34</v>
      </c>
    </row>
    <row r="2963" spans="1:8" x14ac:dyDescent="0.2">
      <c r="A2963" t="s">
        <v>276</v>
      </c>
      <c r="B2963">
        <v>-1125.2400815217391</v>
      </c>
      <c r="C2963" t="s">
        <v>33</v>
      </c>
      <c r="D2963" t="s">
        <v>27</v>
      </c>
      <c r="E2963" t="s">
        <v>15</v>
      </c>
      <c r="F2963" t="s">
        <v>28</v>
      </c>
      <c r="G2963" t="s">
        <v>277</v>
      </c>
      <c r="H2963" t="s">
        <v>25</v>
      </c>
    </row>
    <row r="2964" spans="1:8" x14ac:dyDescent="0.2">
      <c r="A2964" t="s">
        <v>501</v>
      </c>
      <c r="B2964">
        <v>-269.0645578680377</v>
      </c>
      <c r="C2964" t="s">
        <v>33</v>
      </c>
      <c r="D2964" t="s">
        <v>27</v>
      </c>
      <c r="E2964" t="s">
        <v>15</v>
      </c>
      <c r="F2964" t="s">
        <v>28</v>
      </c>
      <c r="G2964" t="s">
        <v>502</v>
      </c>
      <c r="H2964" t="s">
        <v>25</v>
      </c>
    </row>
    <row r="2965" spans="1:8" x14ac:dyDescent="0.2">
      <c r="A2965" t="s">
        <v>377</v>
      </c>
      <c r="B2965">
        <v>1</v>
      </c>
      <c r="C2965" t="s">
        <v>26</v>
      </c>
      <c r="D2965" t="s">
        <v>10</v>
      </c>
      <c r="E2965" t="s">
        <v>15</v>
      </c>
      <c r="F2965" t="s">
        <v>24</v>
      </c>
      <c r="G2965" t="s">
        <v>71</v>
      </c>
      <c r="H2965" t="s">
        <v>25</v>
      </c>
    </row>
    <row r="2967" spans="1:8" ht="16" x14ac:dyDescent="0.2">
      <c r="A2967" s="1" t="s">
        <v>4</v>
      </c>
      <c r="B2967" s="1" t="s">
        <v>321</v>
      </c>
    </row>
    <row r="2968" spans="1:8" x14ac:dyDescent="0.2">
      <c r="A2968" t="s">
        <v>5</v>
      </c>
      <c r="B2968" t="s">
        <v>26</v>
      </c>
    </row>
    <row r="2969" spans="1:8" x14ac:dyDescent="0.2">
      <c r="A2969" t="s">
        <v>6</v>
      </c>
      <c r="B2969">
        <v>1</v>
      </c>
    </row>
    <row r="2970" spans="1:8" x14ac:dyDescent="0.2">
      <c r="A2970" t="s">
        <v>7</v>
      </c>
      <c r="B2970" t="s">
        <v>73</v>
      </c>
    </row>
    <row r="2971" spans="1:8" x14ac:dyDescent="0.2">
      <c r="A2971" t="s">
        <v>8</v>
      </c>
      <c r="B2971" t="s">
        <v>9</v>
      </c>
    </row>
    <row r="2972" spans="1:8" x14ac:dyDescent="0.2">
      <c r="A2972" t="s">
        <v>10</v>
      </c>
      <c r="B2972" t="s">
        <v>10</v>
      </c>
    </row>
    <row r="2973" spans="1:8" x14ac:dyDescent="0.2">
      <c r="A2973" t="s">
        <v>11</v>
      </c>
      <c r="B2973" t="s">
        <v>12</v>
      </c>
    </row>
    <row r="2974" spans="1:8" x14ac:dyDescent="0.2">
      <c r="A2974" t="s">
        <v>13</v>
      </c>
      <c r="B2974" t="s">
        <v>291</v>
      </c>
    </row>
    <row r="2975" spans="1:8" x14ac:dyDescent="0.2">
      <c r="A2975" t="s">
        <v>14</v>
      </c>
      <c r="B2975" t="s">
        <v>271</v>
      </c>
    </row>
    <row r="2976" spans="1:8" x14ac:dyDescent="0.2">
      <c r="A2976" t="s">
        <v>16</v>
      </c>
      <c r="B2976" t="s">
        <v>15</v>
      </c>
    </row>
    <row r="2977" spans="1:8" x14ac:dyDescent="0.2">
      <c r="A2977" t="s">
        <v>17</v>
      </c>
      <c r="B2977" t="s">
        <v>179</v>
      </c>
    </row>
    <row r="2978" spans="1:8" ht="16" x14ac:dyDescent="0.2">
      <c r="A2978" s="1" t="s">
        <v>18</v>
      </c>
    </row>
    <row r="2979" spans="1:8" x14ac:dyDescent="0.2">
      <c r="A2979" t="s">
        <v>19</v>
      </c>
      <c r="B2979" t="s">
        <v>20</v>
      </c>
      <c r="C2979" t="s">
        <v>5</v>
      </c>
      <c r="D2979" t="s">
        <v>10</v>
      </c>
      <c r="E2979" t="s">
        <v>22</v>
      </c>
      <c r="F2979" t="s">
        <v>8</v>
      </c>
      <c r="G2979" t="s">
        <v>7</v>
      </c>
      <c r="H2979" t="s">
        <v>23</v>
      </c>
    </row>
    <row r="2980" spans="1:8" x14ac:dyDescent="0.2">
      <c r="A2980" t="s">
        <v>61</v>
      </c>
      <c r="B2980">
        <v>127.82608695652181</v>
      </c>
      <c r="C2980" t="s">
        <v>33</v>
      </c>
      <c r="D2980" t="s">
        <v>27</v>
      </c>
      <c r="E2980" t="s">
        <v>15</v>
      </c>
      <c r="F2980" t="s">
        <v>28</v>
      </c>
      <c r="G2980" t="s">
        <v>61</v>
      </c>
      <c r="H2980" t="s">
        <v>62</v>
      </c>
    </row>
    <row r="2981" spans="1:8" x14ac:dyDescent="0.2">
      <c r="A2981" t="s">
        <v>272</v>
      </c>
      <c r="B2981">
        <v>1200</v>
      </c>
      <c r="C2981" t="s">
        <v>33</v>
      </c>
      <c r="D2981" t="s">
        <v>27</v>
      </c>
      <c r="E2981" t="s">
        <v>15</v>
      </c>
      <c r="F2981" t="s">
        <v>28</v>
      </c>
      <c r="G2981" t="s">
        <v>273</v>
      </c>
      <c r="H2981" t="s">
        <v>62</v>
      </c>
    </row>
    <row r="2982" spans="1:8" x14ac:dyDescent="0.2">
      <c r="A2982" t="s">
        <v>274</v>
      </c>
      <c r="B2982">
        <v>266.77965807276269</v>
      </c>
      <c r="C2982" t="s">
        <v>33</v>
      </c>
      <c r="D2982" t="s">
        <v>27</v>
      </c>
      <c r="E2982" t="s">
        <v>15</v>
      </c>
      <c r="F2982" t="s">
        <v>28</v>
      </c>
      <c r="G2982" t="s">
        <v>500</v>
      </c>
      <c r="H2982" t="s">
        <v>275</v>
      </c>
    </row>
    <row r="2983" spans="1:8" x14ac:dyDescent="0.2">
      <c r="A2983" t="s">
        <v>60</v>
      </c>
      <c r="B2983">
        <v>49.264583333333327</v>
      </c>
      <c r="C2983" t="s">
        <v>26</v>
      </c>
      <c r="D2983" t="s">
        <v>27</v>
      </c>
      <c r="E2983" t="s">
        <v>15</v>
      </c>
      <c r="F2983" t="s">
        <v>28</v>
      </c>
      <c r="G2983" t="s">
        <v>54</v>
      </c>
      <c r="H2983" t="s">
        <v>34</v>
      </c>
    </row>
    <row r="2984" spans="1:8" x14ac:dyDescent="0.2">
      <c r="A2984" t="s">
        <v>276</v>
      </c>
      <c r="B2984">
        <v>-1121.4384963768121</v>
      </c>
      <c r="C2984" t="s">
        <v>33</v>
      </c>
      <c r="D2984" t="s">
        <v>27</v>
      </c>
      <c r="E2984" t="s">
        <v>15</v>
      </c>
      <c r="F2984" t="s">
        <v>28</v>
      </c>
      <c r="G2984" t="s">
        <v>277</v>
      </c>
      <c r="H2984" t="s">
        <v>25</v>
      </c>
    </row>
    <row r="2985" spans="1:8" x14ac:dyDescent="0.2">
      <c r="A2985" t="s">
        <v>501</v>
      </c>
      <c r="B2985">
        <v>-266.77965807276269</v>
      </c>
      <c r="C2985" t="s">
        <v>33</v>
      </c>
      <c r="D2985" t="s">
        <v>27</v>
      </c>
      <c r="E2985" t="s">
        <v>15</v>
      </c>
      <c r="F2985" t="s">
        <v>28</v>
      </c>
      <c r="G2985" t="s">
        <v>502</v>
      </c>
      <c r="H2985" t="s">
        <v>25</v>
      </c>
    </row>
    <row r="2986" spans="1:8" x14ac:dyDescent="0.2">
      <c r="A2986" t="s">
        <v>321</v>
      </c>
      <c r="B2986">
        <v>1</v>
      </c>
      <c r="C2986" t="s">
        <v>26</v>
      </c>
      <c r="D2986" t="s">
        <v>10</v>
      </c>
      <c r="E2986" t="s">
        <v>15</v>
      </c>
      <c r="F2986" t="s">
        <v>24</v>
      </c>
      <c r="G2986" t="s">
        <v>73</v>
      </c>
      <c r="H2986" t="s">
        <v>25</v>
      </c>
    </row>
    <row r="2989" spans="1:8" ht="16" x14ac:dyDescent="0.2">
      <c r="A2989" s="1" t="s">
        <v>4</v>
      </c>
      <c r="B2989" s="1" t="s">
        <v>466</v>
      </c>
    </row>
    <row r="2990" spans="1:8" x14ac:dyDescent="0.2">
      <c r="A2990" t="s">
        <v>5</v>
      </c>
      <c r="B2990" t="s">
        <v>26</v>
      </c>
    </row>
    <row r="2991" spans="1:8" x14ac:dyDescent="0.2">
      <c r="A2991" t="s">
        <v>6</v>
      </c>
      <c r="B2991">
        <v>1</v>
      </c>
    </row>
    <row r="2992" spans="1:8" x14ac:dyDescent="0.2">
      <c r="A2992" t="s">
        <v>7</v>
      </c>
      <c r="B2992" t="s">
        <v>65</v>
      </c>
    </row>
    <row r="2993" spans="1:8" x14ac:dyDescent="0.2">
      <c r="A2993" t="s">
        <v>8</v>
      </c>
      <c r="B2993" t="s">
        <v>9</v>
      </c>
    </row>
    <row r="2994" spans="1:8" x14ac:dyDescent="0.2">
      <c r="A2994" t="s">
        <v>10</v>
      </c>
      <c r="B2994" t="s">
        <v>10</v>
      </c>
    </row>
    <row r="2995" spans="1:8" x14ac:dyDescent="0.2">
      <c r="A2995" t="s">
        <v>11</v>
      </c>
      <c r="B2995" t="s">
        <v>12</v>
      </c>
    </row>
    <row r="2996" spans="1:8" x14ac:dyDescent="0.2">
      <c r="A2996" t="s">
        <v>13</v>
      </c>
      <c r="B2996" t="s">
        <v>291</v>
      </c>
    </row>
    <row r="2997" spans="1:8" x14ac:dyDescent="0.2">
      <c r="A2997" t="s">
        <v>14</v>
      </c>
      <c r="B2997" t="s">
        <v>271</v>
      </c>
    </row>
    <row r="2998" spans="1:8" x14ac:dyDescent="0.2">
      <c r="A2998" t="s">
        <v>16</v>
      </c>
      <c r="B2998" t="s">
        <v>15</v>
      </c>
    </row>
    <row r="2999" spans="1:8" x14ac:dyDescent="0.2">
      <c r="A2999" t="s">
        <v>17</v>
      </c>
      <c r="B2999" t="s">
        <v>180</v>
      </c>
    </row>
    <row r="3000" spans="1:8" ht="16" x14ac:dyDescent="0.2">
      <c r="A3000" s="1" t="s">
        <v>18</v>
      </c>
    </row>
    <row r="3001" spans="1:8" x14ac:dyDescent="0.2">
      <c r="A3001" t="s">
        <v>19</v>
      </c>
      <c r="B3001" t="s">
        <v>20</v>
      </c>
      <c r="C3001" t="s">
        <v>5</v>
      </c>
      <c r="D3001" t="s">
        <v>10</v>
      </c>
      <c r="E3001" t="s">
        <v>22</v>
      </c>
      <c r="F3001" t="s">
        <v>8</v>
      </c>
      <c r="G3001" t="s">
        <v>7</v>
      </c>
      <c r="H3001" t="s">
        <v>23</v>
      </c>
    </row>
    <row r="3002" spans="1:8" x14ac:dyDescent="0.2">
      <c r="A3002" t="s">
        <v>486</v>
      </c>
      <c r="B3002">
        <v>136</v>
      </c>
      <c r="C3002" t="s">
        <v>26</v>
      </c>
      <c r="D3002" t="s">
        <v>27</v>
      </c>
      <c r="E3002" t="s">
        <v>15</v>
      </c>
      <c r="F3002" t="s">
        <v>28</v>
      </c>
      <c r="G3002" t="s">
        <v>487</v>
      </c>
      <c r="H3002" t="s">
        <v>25</v>
      </c>
    </row>
    <row r="3003" spans="1:8" x14ac:dyDescent="0.2">
      <c r="A3003" t="s">
        <v>61</v>
      </c>
      <c r="B3003">
        <v>120</v>
      </c>
      <c r="C3003" t="s">
        <v>33</v>
      </c>
      <c r="D3003" t="s">
        <v>27</v>
      </c>
      <c r="E3003" t="s">
        <v>15</v>
      </c>
      <c r="F3003" t="s">
        <v>28</v>
      </c>
      <c r="G3003" t="s">
        <v>61</v>
      </c>
      <c r="H3003" t="s">
        <v>62</v>
      </c>
    </row>
    <row r="3004" spans="1:8" x14ac:dyDescent="0.2">
      <c r="A3004" t="s">
        <v>272</v>
      </c>
      <c r="B3004">
        <v>1200</v>
      </c>
      <c r="C3004" t="s">
        <v>33</v>
      </c>
      <c r="D3004" t="s">
        <v>27</v>
      </c>
      <c r="E3004" t="s">
        <v>15</v>
      </c>
      <c r="F3004" t="s">
        <v>28</v>
      </c>
      <c r="G3004" t="s">
        <v>273</v>
      </c>
      <c r="H3004" t="s">
        <v>62</v>
      </c>
    </row>
    <row r="3005" spans="1:8" x14ac:dyDescent="0.2">
      <c r="A3005" t="s">
        <v>274</v>
      </c>
      <c r="B3005">
        <v>256.41095125675201</v>
      </c>
      <c r="C3005" t="s">
        <v>33</v>
      </c>
      <c r="D3005" t="s">
        <v>27</v>
      </c>
      <c r="E3005" t="s">
        <v>15</v>
      </c>
      <c r="F3005" t="s">
        <v>28</v>
      </c>
      <c r="G3005" t="s">
        <v>500</v>
      </c>
      <c r="H3005" t="s">
        <v>275</v>
      </c>
    </row>
    <row r="3006" spans="1:8" x14ac:dyDescent="0.2">
      <c r="A3006" t="s">
        <v>276</v>
      </c>
      <c r="B3006">
        <v>-1216</v>
      </c>
      <c r="C3006" t="s">
        <v>33</v>
      </c>
      <c r="D3006" t="s">
        <v>27</v>
      </c>
      <c r="E3006" t="s">
        <v>15</v>
      </c>
      <c r="F3006" t="s">
        <v>28</v>
      </c>
      <c r="G3006" t="s">
        <v>277</v>
      </c>
      <c r="H3006" t="s">
        <v>25</v>
      </c>
    </row>
    <row r="3007" spans="1:8" x14ac:dyDescent="0.2">
      <c r="A3007" t="s">
        <v>501</v>
      </c>
      <c r="B3007">
        <v>-256.41095125675201</v>
      </c>
      <c r="C3007" t="s">
        <v>33</v>
      </c>
      <c r="D3007" t="s">
        <v>27</v>
      </c>
      <c r="E3007" t="s">
        <v>15</v>
      </c>
      <c r="F3007" t="s">
        <v>28</v>
      </c>
      <c r="G3007" t="s">
        <v>502</v>
      </c>
      <c r="H3007" t="s">
        <v>25</v>
      </c>
    </row>
    <row r="3008" spans="1:8" x14ac:dyDescent="0.2">
      <c r="A3008" t="s">
        <v>466</v>
      </c>
      <c r="B3008">
        <v>1</v>
      </c>
      <c r="C3008" t="s">
        <v>26</v>
      </c>
      <c r="D3008" t="s">
        <v>10</v>
      </c>
      <c r="E3008" t="s">
        <v>15</v>
      </c>
      <c r="F3008" t="s">
        <v>24</v>
      </c>
      <c r="G3008" t="s">
        <v>65</v>
      </c>
      <c r="H3008" t="s">
        <v>25</v>
      </c>
    </row>
    <row r="3010" spans="1:8" ht="16" x14ac:dyDescent="0.2">
      <c r="A3010" s="1" t="s">
        <v>4</v>
      </c>
      <c r="B3010" s="1" t="s">
        <v>442</v>
      </c>
    </row>
    <row r="3011" spans="1:8" x14ac:dyDescent="0.2">
      <c r="A3011" t="s">
        <v>5</v>
      </c>
      <c r="B3011" t="s">
        <v>26</v>
      </c>
    </row>
    <row r="3012" spans="1:8" x14ac:dyDescent="0.2">
      <c r="A3012" t="s">
        <v>6</v>
      </c>
      <c r="B3012">
        <v>1</v>
      </c>
    </row>
    <row r="3013" spans="1:8" x14ac:dyDescent="0.2">
      <c r="A3013" t="s">
        <v>7</v>
      </c>
      <c r="B3013" t="s">
        <v>67</v>
      </c>
    </row>
    <row r="3014" spans="1:8" x14ac:dyDescent="0.2">
      <c r="A3014" t="s">
        <v>8</v>
      </c>
      <c r="B3014" t="s">
        <v>9</v>
      </c>
    </row>
    <row r="3015" spans="1:8" x14ac:dyDescent="0.2">
      <c r="A3015" t="s">
        <v>10</v>
      </c>
      <c r="B3015" t="s">
        <v>10</v>
      </c>
    </row>
    <row r="3016" spans="1:8" x14ac:dyDescent="0.2">
      <c r="A3016" t="s">
        <v>11</v>
      </c>
      <c r="B3016" t="s">
        <v>12</v>
      </c>
    </row>
    <row r="3017" spans="1:8" x14ac:dyDescent="0.2">
      <c r="A3017" t="s">
        <v>13</v>
      </c>
      <c r="B3017" t="s">
        <v>291</v>
      </c>
    </row>
    <row r="3018" spans="1:8" x14ac:dyDescent="0.2">
      <c r="A3018" t="s">
        <v>14</v>
      </c>
      <c r="B3018" t="s">
        <v>271</v>
      </c>
    </row>
    <row r="3019" spans="1:8" x14ac:dyDescent="0.2">
      <c r="A3019" t="s">
        <v>16</v>
      </c>
      <c r="B3019" t="s">
        <v>15</v>
      </c>
    </row>
    <row r="3020" spans="1:8" x14ac:dyDescent="0.2">
      <c r="A3020" t="s">
        <v>17</v>
      </c>
      <c r="B3020" t="s">
        <v>181</v>
      </c>
    </row>
    <row r="3021" spans="1:8" ht="16" x14ac:dyDescent="0.2">
      <c r="A3021" s="1" t="s">
        <v>18</v>
      </c>
    </row>
    <row r="3022" spans="1:8" x14ac:dyDescent="0.2">
      <c r="A3022" t="s">
        <v>19</v>
      </c>
      <c r="B3022" t="s">
        <v>20</v>
      </c>
      <c r="C3022" t="s">
        <v>5</v>
      </c>
      <c r="D3022" t="s">
        <v>10</v>
      </c>
      <c r="E3022" t="s">
        <v>22</v>
      </c>
      <c r="F3022" t="s">
        <v>8</v>
      </c>
      <c r="G3022" t="s">
        <v>7</v>
      </c>
      <c r="H3022" t="s">
        <v>23</v>
      </c>
    </row>
    <row r="3023" spans="1:8" x14ac:dyDescent="0.2">
      <c r="A3023" t="s">
        <v>486</v>
      </c>
      <c r="B3023">
        <v>129.83333333333329</v>
      </c>
      <c r="C3023" t="s">
        <v>26</v>
      </c>
      <c r="D3023" t="s">
        <v>27</v>
      </c>
      <c r="E3023" t="s">
        <v>15</v>
      </c>
      <c r="F3023" t="s">
        <v>28</v>
      </c>
      <c r="G3023" t="s">
        <v>487</v>
      </c>
      <c r="H3023" t="s">
        <v>25</v>
      </c>
    </row>
    <row r="3024" spans="1:8" x14ac:dyDescent="0.2">
      <c r="A3024" t="s">
        <v>61</v>
      </c>
      <c r="B3024">
        <v>120</v>
      </c>
      <c r="C3024" t="s">
        <v>33</v>
      </c>
      <c r="D3024" t="s">
        <v>27</v>
      </c>
      <c r="E3024" t="s">
        <v>15</v>
      </c>
      <c r="F3024" t="s">
        <v>28</v>
      </c>
      <c r="G3024" t="s">
        <v>61</v>
      </c>
      <c r="H3024" t="s">
        <v>62</v>
      </c>
    </row>
    <row r="3025" spans="1:8" x14ac:dyDescent="0.2">
      <c r="A3025" t="s">
        <v>272</v>
      </c>
      <c r="B3025">
        <v>1200</v>
      </c>
      <c r="C3025" t="s">
        <v>33</v>
      </c>
      <c r="D3025" t="s">
        <v>27</v>
      </c>
      <c r="E3025" t="s">
        <v>15</v>
      </c>
      <c r="F3025" t="s">
        <v>28</v>
      </c>
      <c r="G3025" t="s">
        <v>273</v>
      </c>
      <c r="H3025" t="s">
        <v>62</v>
      </c>
    </row>
    <row r="3026" spans="1:8" x14ac:dyDescent="0.2">
      <c r="A3026" t="s">
        <v>274</v>
      </c>
      <c r="B3026">
        <v>255.5661744475365</v>
      </c>
      <c r="C3026" t="s">
        <v>33</v>
      </c>
      <c r="D3026" t="s">
        <v>27</v>
      </c>
      <c r="E3026" t="s">
        <v>15</v>
      </c>
      <c r="F3026" t="s">
        <v>28</v>
      </c>
      <c r="G3026" t="s">
        <v>500</v>
      </c>
      <c r="H3026" t="s">
        <v>275</v>
      </c>
    </row>
    <row r="3027" spans="1:8" x14ac:dyDescent="0.2">
      <c r="A3027" t="s">
        <v>276</v>
      </c>
      <c r="B3027">
        <v>-1209.833333333333</v>
      </c>
      <c r="C3027" t="s">
        <v>33</v>
      </c>
      <c r="D3027" t="s">
        <v>27</v>
      </c>
      <c r="E3027" t="s">
        <v>15</v>
      </c>
      <c r="F3027" t="s">
        <v>28</v>
      </c>
      <c r="G3027" t="s">
        <v>277</v>
      </c>
      <c r="H3027" t="s">
        <v>25</v>
      </c>
    </row>
    <row r="3028" spans="1:8" x14ac:dyDescent="0.2">
      <c r="A3028" t="s">
        <v>501</v>
      </c>
      <c r="B3028">
        <v>-255.5661744475365</v>
      </c>
      <c r="C3028" t="s">
        <v>33</v>
      </c>
      <c r="D3028" t="s">
        <v>27</v>
      </c>
      <c r="E3028" t="s">
        <v>15</v>
      </c>
      <c r="F3028" t="s">
        <v>28</v>
      </c>
      <c r="G3028" t="s">
        <v>502</v>
      </c>
      <c r="H3028" t="s">
        <v>25</v>
      </c>
    </row>
    <row r="3029" spans="1:8" x14ac:dyDescent="0.2">
      <c r="A3029" t="s">
        <v>442</v>
      </c>
      <c r="B3029">
        <v>1</v>
      </c>
      <c r="C3029" t="s">
        <v>26</v>
      </c>
      <c r="D3029" t="s">
        <v>10</v>
      </c>
      <c r="E3029" t="s">
        <v>15</v>
      </c>
      <c r="F3029" t="s">
        <v>24</v>
      </c>
      <c r="G3029" t="s">
        <v>67</v>
      </c>
      <c r="H3029" t="s">
        <v>25</v>
      </c>
    </row>
    <row r="3031" spans="1:8" ht="16" x14ac:dyDescent="0.2">
      <c r="A3031" s="1" t="s">
        <v>4</v>
      </c>
      <c r="B3031" s="1" t="s">
        <v>418</v>
      </c>
    </row>
    <row r="3032" spans="1:8" x14ac:dyDescent="0.2">
      <c r="A3032" t="s">
        <v>5</v>
      </c>
      <c r="B3032" t="s">
        <v>26</v>
      </c>
    </row>
    <row r="3033" spans="1:8" x14ac:dyDescent="0.2">
      <c r="A3033" t="s">
        <v>6</v>
      </c>
      <c r="B3033">
        <v>1</v>
      </c>
    </row>
    <row r="3034" spans="1:8" x14ac:dyDescent="0.2">
      <c r="A3034" t="s">
        <v>7</v>
      </c>
      <c r="B3034" t="s">
        <v>69</v>
      </c>
    </row>
    <row r="3035" spans="1:8" x14ac:dyDescent="0.2">
      <c r="A3035" t="s">
        <v>8</v>
      </c>
      <c r="B3035" t="s">
        <v>9</v>
      </c>
    </row>
    <row r="3036" spans="1:8" x14ac:dyDescent="0.2">
      <c r="A3036" t="s">
        <v>10</v>
      </c>
      <c r="B3036" t="s">
        <v>10</v>
      </c>
    </row>
    <row r="3037" spans="1:8" x14ac:dyDescent="0.2">
      <c r="A3037" t="s">
        <v>11</v>
      </c>
      <c r="B3037" t="s">
        <v>12</v>
      </c>
    </row>
    <row r="3038" spans="1:8" x14ac:dyDescent="0.2">
      <c r="A3038" t="s">
        <v>13</v>
      </c>
      <c r="B3038" t="s">
        <v>291</v>
      </c>
    </row>
    <row r="3039" spans="1:8" x14ac:dyDescent="0.2">
      <c r="A3039" t="s">
        <v>14</v>
      </c>
      <c r="B3039" t="s">
        <v>271</v>
      </c>
    </row>
    <row r="3040" spans="1:8" x14ac:dyDescent="0.2">
      <c r="A3040" t="s">
        <v>16</v>
      </c>
      <c r="B3040" t="s">
        <v>15</v>
      </c>
    </row>
    <row r="3041" spans="1:8" x14ac:dyDescent="0.2">
      <c r="A3041" t="s">
        <v>17</v>
      </c>
      <c r="B3041" t="s">
        <v>182</v>
      </c>
    </row>
    <row r="3042" spans="1:8" ht="16" x14ac:dyDescent="0.2">
      <c r="A3042" s="1" t="s">
        <v>18</v>
      </c>
    </row>
    <row r="3043" spans="1:8" x14ac:dyDescent="0.2">
      <c r="A3043" t="s">
        <v>19</v>
      </c>
      <c r="B3043" t="s">
        <v>20</v>
      </c>
      <c r="C3043" t="s">
        <v>5</v>
      </c>
      <c r="D3043" t="s">
        <v>10</v>
      </c>
      <c r="E3043" t="s">
        <v>22</v>
      </c>
      <c r="F3043" t="s">
        <v>8</v>
      </c>
      <c r="G3043" t="s">
        <v>7</v>
      </c>
      <c r="H3043" t="s">
        <v>23</v>
      </c>
    </row>
    <row r="3044" spans="1:8" x14ac:dyDescent="0.2">
      <c r="A3044" t="s">
        <v>486</v>
      </c>
      <c r="B3044">
        <v>123.6666666666667</v>
      </c>
      <c r="C3044" t="s">
        <v>26</v>
      </c>
      <c r="D3044" t="s">
        <v>27</v>
      </c>
      <c r="E3044" t="s">
        <v>15</v>
      </c>
      <c r="F3044" t="s">
        <v>28</v>
      </c>
      <c r="G3044" t="s">
        <v>487</v>
      </c>
      <c r="H3044" t="s">
        <v>25</v>
      </c>
    </row>
    <row r="3045" spans="1:8" x14ac:dyDescent="0.2">
      <c r="A3045" t="s">
        <v>61</v>
      </c>
      <c r="B3045">
        <v>120</v>
      </c>
      <c r="C3045" t="s">
        <v>33</v>
      </c>
      <c r="D3045" t="s">
        <v>27</v>
      </c>
      <c r="E3045" t="s">
        <v>15</v>
      </c>
      <c r="F3045" t="s">
        <v>28</v>
      </c>
      <c r="G3045" t="s">
        <v>61</v>
      </c>
      <c r="H3045" t="s">
        <v>62</v>
      </c>
    </row>
    <row r="3046" spans="1:8" x14ac:dyDescent="0.2">
      <c r="A3046" t="s">
        <v>272</v>
      </c>
      <c r="B3046">
        <v>1200</v>
      </c>
      <c r="C3046" t="s">
        <v>33</v>
      </c>
      <c r="D3046" t="s">
        <v>27</v>
      </c>
      <c r="E3046" t="s">
        <v>15</v>
      </c>
      <c r="F3046" t="s">
        <v>28</v>
      </c>
      <c r="G3046" t="s">
        <v>273</v>
      </c>
      <c r="H3046" t="s">
        <v>62</v>
      </c>
    </row>
    <row r="3047" spans="1:8" x14ac:dyDescent="0.2">
      <c r="A3047" t="s">
        <v>274</v>
      </c>
      <c r="B3047">
        <v>254.72139763832089</v>
      </c>
      <c r="C3047" t="s">
        <v>33</v>
      </c>
      <c r="D3047" t="s">
        <v>27</v>
      </c>
      <c r="E3047" t="s">
        <v>15</v>
      </c>
      <c r="F3047" t="s">
        <v>28</v>
      </c>
      <c r="G3047" t="s">
        <v>500</v>
      </c>
      <c r="H3047" t="s">
        <v>275</v>
      </c>
    </row>
    <row r="3048" spans="1:8" x14ac:dyDescent="0.2">
      <c r="A3048" t="s">
        <v>276</v>
      </c>
      <c r="B3048">
        <v>-1203.666666666667</v>
      </c>
      <c r="C3048" t="s">
        <v>33</v>
      </c>
      <c r="D3048" t="s">
        <v>27</v>
      </c>
      <c r="E3048" t="s">
        <v>15</v>
      </c>
      <c r="F3048" t="s">
        <v>28</v>
      </c>
      <c r="G3048" t="s">
        <v>277</v>
      </c>
      <c r="H3048" t="s">
        <v>25</v>
      </c>
    </row>
    <row r="3049" spans="1:8" x14ac:dyDescent="0.2">
      <c r="A3049" t="s">
        <v>501</v>
      </c>
      <c r="B3049">
        <v>-254.72139763832089</v>
      </c>
      <c r="C3049" t="s">
        <v>33</v>
      </c>
      <c r="D3049" t="s">
        <v>27</v>
      </c>
      <c r="E3049" t="s">
        <v>15</v>
      </c>
      <c r="F3049" t="s">
        <v>28</v>
      </c>
      <c r="G3049" t="s">
        <v>502</v>
      </c>
      <c r="H3049" t="s">
        <v>25</v>
      </c>
    </row>
    <row r="3050" spans="1:8" x14ac:dyDescent="0.2">
      <c r="A3050" t="s">
        <v>418</v>
      </c>
      <c r="B3050">
        <v>1</v>
      </c>
      <c r="C3050" t="s">
        <v>26</v>
      </c>
      <c r="D3050" t="s">
        <v>10</v>
      </c>
      <c r="E3050" t="s">
        <v>15</v>
      </c>
      <c r="F3050" t="s">
        <v>24</v>
      </c>
      <c r="G3050" t="s">
        <v>69</v>
      </c>
      <c r="H3050" t="s">
        <v>25</v>
      </c>
    </row>
    <row r="3052" spans="1:8" ht="16" x14ac:dyDescent="0.2">
      <c r="A3052" s="1" t="s">
        <v>4</v>
      </c>
      <c r="B3052" s="1" t="s">
        <v>378</v>
      </c>
    </row>
    <row r="3053" spans="1:8" x14ac:dyDescent="0.2">
      <c r="A3053" t="s">
        <v>5</v>
      </c>
      <c r="B3053" t="s">
        <v>26</v>
      </c>
    </row>
    <row r="3054" spans="1:8" x14ac:dyDescent="0.2">
      <c r="A3054" t="s">
        <v>6</v>
      </c>
      <c r="B3054">
        <v>1</v>
      </c>
    </row>
    <row r="3055" spans="1:8" x14ac:dyDescent="0.2">
      <c r="A3055" t="s">
        <v>7</v>
      </c>
      <c r="B3055" t="s">
        <v>71</v>
      </c>
    </row>
    <row r="3056" spans="1:8" x14ac:dyDescent="0.2">
      <c r="A3056" t="s">
        <v>8</v>
      </c>
      <c r="B3056" t="s">
        <v>9</v>
      </c>
    </row>
    <row r="3057" spans="1:8" x14ac:dyDescent="0.2">
      <c r="A3057" t="s">
        <v>10</v>
      </c>
      <c r="B3057" t="s">
        <v>10</v>
      </c>
    </row>
    <row r="3058" spans="1:8" x14ac:dyDescent="0.2">
      <c r="A3058" t="s">
        <v>11</v>
      </c>
      <c r="B3058" t="s">
        <v>12</v>
      </c>
    </row>
    <row r="3059" spans="1:8" x14ac:dyDescent="0.2">
      <c r="A3059" t="s">
        <v>13</v>
      </c>
      <c r="B3059" t="s">
        <v>291</v>
      </c>
    </row>
    <row r="3060" spans="1:8" x14ac:dyDescent="0.2">
      <c r="A3060" t="s">
        <v>14</v>
      </c>
      <c r="B3060" t="s">
        <v>271</v>
      </c>
    </row>
    <row r="3061" spans="1:8" x14ac:dyDescent="0.2">
      <c r="A3061" t="s">
        <v>16</v>
      </c>
      <c r="B3061" t="s">
        <v>15</v>
      </c>
    </row>
    <row r="3062" spans="1:8" x14ac:dyDescent="0.2">
      <c r="A3062" t="s">
        <v>17</v>
      </c>
      <c r="B3062" t="s">
        <v>183</v>
      </c>
    </row>
    <row r="3063" spans="1:8" ht="16" x14ac:dyDescent="0.2">
      <c r="A3063" s="1" t="s">
        <v>18</v>
      </c>
    </row>
    <row r="3064" spans="1:8" x14ac:dyDescent="0.2">
      <c r="A3064" t="s">
        <v>19</v>
      </c>
      <c r="B3064" t="s">
        <v>20</v>
      </c>
      <c r="C3064" t="s">
        <v>5</v>
      </c>
      <c r="D3064" t="s">
        <v>10</v>
      </c>
      <c r="E3064" t="s">
        <v>22</v>
      </c>
      <c r="F3064" t="s">
        <v>8</v>
      </c>
      <c r="G3064" t="s">
        <v>7</v>
      </c>
      <c r="H3064" t="s">
        <v>23</v>
      </c>
    </row>
    <row r="3065" spans="1:8" x14ac:dyDescent="0.2">
      <c r="A3065" t="s">
        <v>486</v>
      </c>
      <c r="B3065">
        <v>112.30525362318841</v>
      </c>
      <c r="C3065" t="s">
        <v>26</v>
      </c>
      <c r="D3065" t="s">
        <v>27</v>
      </c>
      <c r="E3065" t="s">
        <v>15</v>
      </c>
      <c r="F3065" t="s">
        <v>28</v>
      </c>
      <c r="G3065" t="s">
        <v>487</v>
      </c>
      <c r="H3065" t="s">
        <v>25</v>
      </c>
    </row>
    <row r="3066" spans="1:8" x14ac:dyDescent="0.2">
      <c r="A3066" t="s">
        <v>61</v>
      </c>
      <c r="B3066">
        <v>123.9130434782609</v>
      </c>
      <c r="C3066" t="s">
        <v>33</v>
      </c>
      <c r="D3066" t="s">
        <v>27</v>
      </c>
      <c r="E3066" t="s">
        <v>15</v>
      </c>
      <c r="F3066" t="s">
        <v>28</v>
      </c>
      <c r="G3066" t="s">
        <v>61</v>
      </c>
      <c r="H3066" t="s">
        <v>62</v>
      </c>
    </row>
    <row r="3067" spans="1:8" x14ac:dyDescent="0.2">
      <c r="A3067" t="s">
        <v>272</v>
      </c>
      <c r="B3067">
        <v>1200</v>
      </c>
      <c r="C3067" t="s">
        <v>33</v>
      </c>
      <c r="D3067" t="s">
        <v>27</v>
      </c>
      <c r="E3067" t="s">
        <v>15</v>
      </c>
      <c r="F3067" t="s">
        <v>28</v>
      </c>
      <c r="G3067" t="s">
        <v>273</v>
      </c>
      <c r="H3067" t="s">
        <v>62</v>
      </c>
    </row>
    <row r="3068" spans="1:8" x14ac:dyDescent="0.2">
      <c r="A3068" t="s">
        <v>274</v>
      </c>
      <c r="B3068">
        <v>250.88870746536821</v>
      </c>
      <c r="C3068" t="s">
        <v>33</v>
      </c>
      <c r="D3068" t="s">
        <v>27</v>
      </c>
      <c r="E3068" t="s">
        <v>15</v>
      </c>
      <c r="F3068" t="s">
        <v>28</v>
      </c>
      <c r="G3068" t="s">
        <v>500</v>
      </c>
      <c r="H3068" t="s">
        <v>275</v>
      </c>
    </row>
    <row r="3069" spans="1:8" x14ac:dyDescent="0.2">
      <c r="A3069" t="s">
        <v>276</v>
      </c>
      <c r="B3069">
        <v>-1188.392210144928</v>
      </c>
      <c r="C3069" t="s">
        <v>33</v>
      </c>
      <c r="D3069" t="s">
        <v>27</v>
      </c>
      <c r="E3069" t="s">
        <v>15</v>
      </c>
      <c r="F3069" t="s">
        <v>28</v>
      </c>
      <c r="G3069" t="s">
        <v>277</v>
      </c>
      <c r="H3069" t="s">
        <v>25</v>
      </c>
    </row>
    <row r="3070" spans="1:8" x14ac:dyDescent="0.2">
      <c r="A3070" t="s">
        <v>501</v>
      </c>
      <c r="B3070">
        <v>-250.88870746536821</v>
      </c>
      <c r="C3070" t="s">
        <v>33</v>
      </c>
      <c r="D3070" t="s">
        <v>27</v>
      </c>
      <c r="E3070" t="s">
        <v>15</v>
      </c>
      <c r="F3070" t="s">
        <v>28</v>
      </c>
      <c r="G3070" t="s">
        <v>502</v>
      </c>
      <c r="H3070" t="s">
        <v>25</v>
      </c>
    </row>
    <row r="3071" spans="1:8" x14ac:dyDescent="0.2">
      <c r="A3071" t="s">
        <v>378</v>
      </c>
      <c r="B3071">
        <v>1</v>
      </c>
      <c r="C3071" t="s">
        <v>26</v>
      </c>
      <c r="D3071" t="s">
        <v>10</v>
      </c>
      <c r="E3071" t="s">
        <v>15</v>
      </c>
      <c r="F3071" t="s">
        <v>24</v>
      </c>
      <c r="G3071" t="s">
        <v>71</v>
      </c>
      <c r="H3071" t="s">
        <v>25</v>
      </c>
    </row>
    <row r="3073" spans="1:8" ht="16" x14ac:dyDescent="0.2">
      <c r="A3073" s="1" t="s">
        <v>4</v>
      </c>
      <c r="B3073" s="1" t="s">
        <v>322</v>
      </c>
    </row>
    <row r="3074" spans="1:8" x14ac:dyDescent="0.2">
      <c r="A3074" t="s">
        <v>5</v>
      </c>
      <c r="B3074" t="s">
        <v>26</v>
      </c>
    </row>
    <row r="3075" spans="1:8" x14ac:dyDescent="0.2">
      <c r="A3075" t="s">
        <v>6</v>
      </c>
      <c r="B3075">
        <v>1</v>
      </c>
    </row>
    <row r="3076" spans="1:8" x14ac:dyDescent="0.2">
      <c r="A3076" t="s">
        <v>7</v>
      </c>
      <c r="B3076" t="s">
        <v>73</v>
      </c>
    </row>
    <row r="3077" spans="1:8" x14ac:dyDescent="0.2">
      <c r="A3077" t="s">
        <v>8</v>
      </c>
      <c r="B3077" t="s">
        <v>9</v>
      </c>
    </row>
    <row r="3078" spans="1:8" x14ac:dyDescent="0.2">
      <c r="A3078" t="s">
        <v>10</v>
      </c>
      <c r="B3078" t="s">
        <v>10</v>
      </c>
    </row>
    <row r="3079" spans="1:8" x14ac:dyDescent="0.2">
      <c r="A3079" t="s">
        <v>11</v>
      </c>
      <c r="B3079" t="s">
        <v>12</v>
      </c>
    </row>
    <row r="3080" spans="1:8" x14ac:dyDescent="0.2">
      <c r="A3080" t="s">
        <v>13</v>
      </c>
      <c r="B3080" t="s">
        <v>291</v>
      </c>
    </row>
    <row r="3081" spans="1:8" x14ac:dyDescent="0.2">
      <c r="A3081" t="s">
        <v>14</v>
      </c>
      <c r="B3081" t="s">
        <v>271</v>
      </c>
    </row>
    <row r="3082" spans="1:8" x14ac:dyDescent="0.2">
      <c r="A3082" t="s">
        <v>16</v>
      </c>
      <c r="B3082" t="s">
        <v>15</v>
      </c>
    </row>
    <row r="3083" spans="1:8" x14ac:dyDescent="0.2">
      <c r="A3083" t="s">
        <v>17</v>
      </c>
      <c r="B3083" t="s">
        <v>184</v>
      </c>
    </row>
    <row r="3084" spans="1:8" ht="16" x14ac:dyDescent="0.2">
      <c r="A3084" s="1" t="s">
        <v>18</v>
      </c>
    </row>
    <row r="3085" spans="1:8" x14ac:dyDescent="0.2">
      <c r="A3085" t="s">
        <v>19</v>
      </c>
      <c r="B3085" t="s">
        <v>20</v>
      </c>
      <c r="C3085" t="s">
        <v>5</v>
      </c>
      <c r="D3085" t="s">
        <v>10</v>
      </c>
      <c r="E3085" t="s">
        <v>22</v>
      </c>
      <c r="F3085" t="s">
        <v>8</v>
      </c>
      <c r="G3085" t="s">
        <v>7</v>
      </c>
      <c r="H3085" t="s">
        <v>23</v>
      </c>
    </row>
    <row r="3086" spans="1:8" x14ac:dyDescent="0.2">
      <c r="A3086" t="s">
        <v>486</v>
      </c>
      <c r="B3086">
        <v>100.9438405797102</v>
      </c>
      <c r="C3086" t="s">
        <v>26</v>
      </c>
      <c r="D3086" t="s">
        <v>27</v>
      </c>
      <c r="E3086" t="s">
        <v>15</v>
      </c>
      <c r="F3086" t="s">
        <v>28</v>
      </c>
      <c r="G3086" t="s">
        <v>487</v>
      </c>
      <c r="H3086" t="s">
        <v>25</v>
      </c>
    </row>
    <row r="3087" spans="1:8" x14ac:dyDescent="0.2">
      <c r="A3087" t="s">
        <v>61</v>
      </c>
      <c r="B3087">
        <v>127.82608695652181</v>
      </c>
      <c r="C3087" t="s">
        <v>33</v>
      </c>
      <c r="D3087" t="s">
        <v>27</v>
      </c>
      <c r="E3087" t="s">
        <v>15</v>
      </c>
      <c r="F3087" t="s">
        <v>28</v>
      </c>
      <c r="G3087" t="s">
        <v>61</v>
      </c>
      <c r="H3087" t="s">
        <v>62</v>
      </c>
    </row>
    <row r="3088" spans="1:8" x14ac:dyDescent="0.2">
      <c r="A3088" t="s">
        <v>272</v>
      </c>
      <c r="B3088">
        <v>1200</v>
      </c>
      <c r="C3088" t="s">
        <v>33</v>
      </c>
      <c r="D3088" t="s">
        <v>27</v>
      </c>
      <c r="E3088" t="s">
        <v>15</v>
      </c>
      <c r="F3088" t="s">
        <v>28</v>
      </c>
      <c r="G3088" t="s">
        <v>273</v>
      </c>
      <c r="H3088" t="s">
        <v>62</v>
      </c>
    </row>
    <row r="3089" spans="1:8" x14ac:dyDescent="0.2">
      <c r="A3089" t="s">
        <v>274</v>
      </c>
      <c r="B3089">
        <v>247.08058673609179</v>
      </c>
      <c r="C3089" t="s">
        <v>33</v>
      </c>
      <c r="D3089" t="s">
        <v>27</v>
      </c>
      <c r="E3089" t="s">
        <v>15</v>
      </c>
      <c r="F3089" t="s">
        <v>28</v>
      </c>
      <c r="G3089" t="s">
        <v>500</v>
      </c>
      <c r="H3089" t="s">
        <v>275</v>
      </c>
    </row>
    <row r="3090" spans="1:8" x14ac:dyDescent="0.2">
      <c r="A3090" t="s">
        <v>276</v>
      </c>
      <c r="B3090">
        <v>-1173.117753623188</v>
      </c>
      <c r="C3090" t="s">
        <v>33</v>
      </c>
      <c r="D3090" t="s">
        <v>27</v>
      </c>
      <c r="E3090" t="s">
        <v>15</v>
      </c>
      <c r="F3090" t="s">
        <v>28</v>
      </c>
      <c r="G3090" t="s">
        <v>277</v>
      </c>
      <c r="H3090" t="s">
        <v>25</v>
      </c>
    </row>
    <row r="3091" spans="1:8" x14ac:dyDescent="0.2">
      <c r="A3091" t="s">
        <v>501</v>
      </c>
      <c r="B3091">
        <v>-247.08058673609179</v>
      </c>
      <c r="C3091" t="s">
        <v>33</v>
      </c>
      <c r="D3091" t="s">
        <v>27</v>
      </c>
      <c r="E3091" t="s">
        <v>15</v>
      </c>
      <c r="F3091" t="s">
        <v>28</v>
      </c>
      <c r="G3091" t="s">
        <v>502</v>
      </c>
      <c r="H3091" t="s">
        <v>25</v>
      </c>
    </row>
    <row r="3092" spans="1:8" x14ac:dyDescent="0.2">
      <c r="A3092" t="s">
        <v>322</v>
      </c>
      <c r="B3092">
        <v>1</v>
      </c>
      <c r="C3092" t="s">
        <v>26</v>
      </c>
      <c r="D3092" t="s">
        <v>10</v>
      </c>
      <c r="E3092" t="s">
        <v>15</v>
      </c>
      <c r="F3092" t="s">
        <v>24</v>
      </c>
      <c r="G3092" t="s">
        <v>73</v>
      </c>
      <c r="H3092" t="s">
        <v>25</v>
      </c>
    </row>
    <row r="3095" spans="1:8" ht="16" x14ac:dyDescent="0.2">
      <c r="A3095" s="1" t="s">
        <v>4</v>
      </c>
      <c r="B3095" s="1" t="s">
        <v>379</v>
      </c>
    </row>
    <row r="3096" spans="1:8" x14ac:dyDescent="0.2">
      <c r="A3096" t="s">
        <v>5</v>
      </c>
      <c r="B3096" t="s">
        <v>26</v>
      </c>
    </row>
    <row r="3097" spans="1:8" x14ac:dyDescent="0.2">
      <c r="A3097" t="s">
        <v>6</v>
      </c>
      <c r="B3097">
        <v>1</v>
      </c>
    </row>
    <row r="3098" spans="1:8" x14ac:dyDescent="0.2">
      <c r="A3098" t="s">
        <v>7</v>
      </c>
      <c r="B3098" t="s">
        <v>71</v>
      </c>
    </row>
    <row r="3099" spans="1:8" x14ac:dyDescent="0.2">
      <c r="A3099" t="s">
        <v>8</v>
      </c>
      <c r="B3099" t="s">
        <v>9</v>
      </c>
    </row>
    <row r="3100" spans="1:8" x14ac:dyDescent="0.2">
      <c r="A3100" t="s">
        <v>10</v>
      </c>
      <c r="B3100" t="s">
        <v>10</v>
      </c>
    </row>
    <row r="3101" spans="1:8" x14ac:dyDescent="0.2">
      <c r="A3101" t="s">
        <v>11</v>
      </c>
      <c r="B3101" t="s">
        <v>12</v>
      </c>
    </row>
    <row r="3102" spans="1:8" x14ac:dyDescent="0.2">
      <c r="A3102" t="s">
        <v>13</v>
      </c>
      <c r="B3102" t="s">
        <v>291</v>
      </c>
    </row>
    <row r="3103" spans="1:8" x14ac:dyDescent="0.2">
      <c r="A3103" t="s">
        <v>14</v>
      </c>
      <c r="B3103" t="s">
        <v>271</v>
      </c>
    </row>
    <row r="3104" spans="1:8" x14ac:dyDescent="0.2">
      <c r="A3104" t="s">
        <v>16</v>
      </c>
      <c r="B3104" t="s">
        <v>15</v>
      </c>
    </row>
    <row r="3105" spans="1:8" x14ac:dyDescent="0.2">
      <c r="A3105" t="s">
        <v>17</v>
      </c>
      <c r="B3105" t="s">
        <v>185</v>
      </c>
    </row>
    <row r="3106" spans="1:8" ht="16" x14ac:dyDescent="0.2">
      <c r="A3106" s="1" t="s">
        <v>18</v>
      </c>
    </row>
    <row r="3107" spans="1:8" x14ac:dyDescent="0.2">
      <c r="A3107" t="s">
        <v>19</v>
      </c>
      <c r="B3107" t="s">
        <v>20</v>
      </c>
      <c r="C3107" t="s">
        <v>5</v>
      </c>
      <c r="D3107" t="s">
        <v>10</v>
      </c>
      <c r="E3107" t="s">
        <v>22</v>
      </c>
      <c r="F3107" t="s">
        <v>8</v>
      </c>
      <c r="G3107" t="s">
        <v>7</v>
      </c>
      <c r="H3107" t="s">
        <v>23</v>
      </c>
    </row>
    <row r="3108" spans="1:8" x14ac:dyDescent="0.2">
      <c r="A3108" t="s">
        <v>610</v>
      </c>
      <c r="B3108">
        <f>61.8</f>
        <v>61.8</v>
      </c>
      <c r="C3108" t="s">
        <v>33</v>
      </c>
      <c r="D3108" t="s">
        <v>39</v>
      </c>
      <c r="F3108" t="s">
        <v>28</v>
      </c>
      <c r="G3108" t="s">
        <v>611</v>
      </c>
      <c r="H3108" t="s">
        <v>34</v>
      </c>
    </row>
    <row r="3109" spans="1:8" x14ac:dyDescent="0.2">
      <c r="A3109" t="s">
        <v>61</v>
      </c>
      <c r="B3109">
        <v>135.7372329996582</v>
      </c>
      <c r="C3109" t="s">
        <v>33</v>
      </c>
      <c r="D3109" t="s">
        <v>27</v>
      </c>
      <c r="E3109" t="s">
        <v>15</v>
      </c>
      <c r="F3109" t="s">
        <v>28</v>
      </c>
      <c r="G3109" t="s">
        <v>61</v>
      </c>
      <c r="H3109" t="s">
        <v>62</v>
      </c>
    </row>
    <row r="3110" spans="1:8" x14ac:dyDescent="0.2">
      <c r="A3110" t="s">
        <v>283</v>
      </c>
      <c r="B3110">
        <v>5.9804347826086959</v>
      </c>
      <c r="C3110" t="s">
        <v>33</v>
      </c>
      <c r="D3110" t="s">
        <v>27</v>
      </c>
      <c r="E3110" t="s">
        <v>15</v>
      </c>
      <c r="F3110" t="s">
        <v>28</v>
      </c>
      <c r="G3110" t="s">
        <v>284</v>
      </c>
      <c r="H3110" t="s">
        <v>34</v>
      </c>
    </row>
    <row r="3111" spans="1:8" x14ac:dyDescent="0.2">
      <c r="A3111" t="s">
        <v>285</v>
      </c>
      <c r="B3111">
        <v>4.4853260869565217</v>
      </c>
      <c r="C3111" t="s">
        <v>33</v>
      </c>
      <c r="D3111" t="s">
        <v>27</v>
      </c>
      <c r="E3111" t="s">
        <v>15</v>
      </c>
      <c r="F3111" t="s">
        <v>28</v>
      </c>
      <c r="G3111" t="s">
        <v>286</v>
      </c>
      <c r="H3111" t="s">
        <v>34</v>
      </c>
    </row>
    <row r="3112" spans="1:8" x14ac:dyDescent="0.2">
      <c r="A3112" t="s">
        <v>278</v>
      </c>
      <c r="B3112">
        <v>49.809644525402518</v>
      </c>
      <c r="C3112" t="s">
        <v>33</v>
      </c>
      <c r="D3112" t="s">
        <v>27</v>
      </c>
      <c r="E3112" t="s">
        <v>15</v>
      </c>
      <c r="F3112" t="s">
        <v>28</v>
      </c>
      <c r="G3112" t="s">
        <v>279</v>
      </c>
      <c r="H3112" t="s">
        <v>275</v>
      </c>
    </row>
    <row r="3113" spans="1:8" x14ac:dyDescent="0.2">
      <c r="A3113" t="s">
        <v>272</v>
      </c>
      <c r="B3113">
        <v>1314.507940628268</v>
      </c>
      <c r="C3113" t="s">
        <v>33</v>
      </c>
      <c r="D3113" t="s">
        <v>27</v>
      </c>
      <c r="E3113" t="s">
        <v>15</v>
      </c>
      <c r="F3113" t="s">
        <v>28</v>
      </c>
      <c r="G3113" t="s">
        <v>273</v>
      </c>
      <c r="H3113" t="s">
        <v>62</v>
      </c>
    </row>
    <row r="3114" spans="1:8" x14ac:dyDescent="0.2">
      <c r="A3114" t="s">
        <v>274</v>
      </c>
      <c r="B3114">
        <v>280.82182340712262</v>
      </c>
      <c r="C3114" t="s">
        <v>33</v>
      </c>
      <c r="D3114" t="s">
        <v>27</v>
      </c>
      <c r="E3114" t="s">
        <v>15</v>
      </c>
      <c r="F3114" t="s">
        <v>28</v>
      </c>
      <c r="G3114" t="s">
        <v>500</v>
      </c>
      <c r="H3114" t="s">
        <v>275</v>
      </c>
    </row>
    <row r="3115" spans="1:8" x14ac:dyDescent="0.2">
      <c r="A3115" t="s">
        <v>287</v>
      </c>
      <c r="B3115">
        <v>8.9706521739130434</v>
      </c>
      <c r="C3115" t="s">
        <v>33</v>
      </c>
      <c r="D3115" t="s">
        <v>27</v>
      </c>
      <c r="E3115" t="s">
        <v>15</v>
      </c>
      <c r="F3115" t="s">
        <v>28</v>
      </c>
      <c r="G3115" t="s">
        <v>288</v>
      </c>
      <c r="H3115" t="s">
        <v>34</v>
      </c>
    </row>
    <row r="3116" spans="1:8" x14ac:dyDescent="0.2">
      <c r="A3116" t="s">
        <v>289</v>
      </c>
      <c r="B3116">
        <v>3.9869565217391298</v>
      </c>
      <c r="C3116" t="s">
        <v>33</v>
      </c>
      <c r="D3116" t="s">
        <v>27</v>
      </c>
      <c r="E3116" t="s">
        <v>15</v>
      </c>
      <c r="F3116" t="s">
        <v>28</v>
      </c>
      <c r="G3116" t="s">
        <v>290</v>
      </c>
      <c r="H3116" t="s">
        <v>34</v>
      </c>
    </row>
    <row r="3117" spans="1:8" x14ac:dyDescent="0.2">
      <c r="A3117" t="s">
        <v>280</v>
      </c>
      <c r="B3117">
        <v>-73.233014090619918</v>
      </c>
      <c r="C3117" t="s">
        <v>33</v>
      </c>
      <c r="D3117" t="s">
        <v>27</v>
      </c>
      <c r="E3117" t="s">
        <v>15</v>
      </c>
      <c r="F3117" t="s">
        <v>28</v>
      </c>
      <c r="G3117" t="s">
        <v>281</v>
      </c>
      <c r="H3117" t="s">
        <v>282</v>
      </c>
    </row>
    <row r="3118" spans="1:8" x14ac:dyDescent="0.2">
      <c r="A3118" t="s">
        <v>60</v>
      </c>
      <c r="B3118">
        <v>42.952083333333327</v>
      </c>
      <c r="C3118" t="s">
        <v>26</v>
      </c>
      <c r="D3118" t="s">
        <v>27</v>
      </c>
      <c r="E3118" t="s">
        <v>15</v>
      </c>
      <c r="F3118" t="s">
        <v>28</v>
      </c>
      <c r="G3118" t="s">
        <v>54</v>
      </c>
      <c r="H3118" t="s">
        <v>34</v>
      </c>
    </row>
    <row r="3119" spans="1:8" x14ac:dyDescent="0.2">
      <c r="A3119" t="s">
        <v>276</v>
      </c>
      <c r="B3119">
        <v>-1221.7227909619439</v>
      </c>
      <c r="C3119" t="s">
        <v>33</v>
      </c>
      <c r="D3119" t="s">
        <v>27</v>
      </c>
      <c r="E3119" t="s">
        <v>15</v>
      </c>
      <c r="F3119" t="s">
        <v>28</v>
      </c>
      <c r="G3119" t="s">
        <v>277</v>
      </c>
      <c r="H3119" t="s">
        <v>25</v>
      </c>
    </row>
    <row r="3120" spans="1:8" x14ac:dyDescent="0.2">
      <c r="A3120" t="s">
        <v>501</v>
      </c>
      <c r="B3120">
        <v>-280.82182340712262</v>
      </c>
      <c r="C3120" t="s">
        <v>33</v>
      </c>
      <c r="D3120" t="s">
        <v>27</v>
      </c>
      <c r="E3120" t="s">
        <v>15</v>
      </c>
      <c r="F3120" t="s">
        <v>28</v>
      </c>
      <c r="G3120" t="s">
        <v>502</v>
      </c>
      <c r="H3120" t="s">
        <v>25</v>
      </c>
    </row>
    <row r="3121" spans="1:8" x14ac:dyDescent="0.2">
      <c r="A3121" t="s">
        <v>56</v>
      </c>
      <c r="B3121">
        <v>371.00572763558989</v>
      </c>
      <c r="C3121" t="s">
        <v>63</v>
      </c>
      <c r="D3121" t="s">
        <v>39</v>
      </c>
      <c r="E3121" t="s">
        <v>15</v>
      </c>
      <c r="F3121" t="s">
        <v>28</v>
      </c>
      <c r="G3121" t="s">
        <v>58</v>
      </c>
      <c r="H3121" t="s">
        <v>34</v>
      </c>
    </row>
    <row r="3122" spans="1:8" x14ac:dyDescent="0.2">
      <c r="A3122" t="s">
        <v>379</v>
      </c>
      <c r="B3122">
        <v>1</v>
      </c>
      <c r="C3122" t="s">
        <v>26</v>
      </c>
      <c r="D3122" t="s">
        <v>10</v>
      </c>
      <c r="E3122" t="s">
        <v>15</v>
      </c>
      <c r="F3122" t="s">
        <v>24</v>
      </c>
      <c r="G3122" t="s">
        <v>71</v>
      </c>
      <c r="H3122" t="s">
        <v>25</v>
      </c>
    </row>
    <row r="3124" spans="1:8" ht="16" x14ac:dyDescent="0.2">
      <c r="A3124" s="1" t="s">
        <v>4</v>
      </c>
      <c r="B3124" s="1" t="s">
        <v>323</v>
      </c>
    </row>
    <row r="3125" spans="1:8" x14ac:dyDescent="0.2">
      <c r="A3125" t="s">
        <v>5</v>
      </c>
      <c r="B3125" t="s">
        <v>26</v>
      </c>
    </row>
    <row r="3126" spans="1:8" x14ac:dyDescent="0.2">
      <c r="A3126" t="s">
        <v>6</v>
      </c>
      <c r="B3126">
        <v>1</v>
      </c>
    </row>
    <row r="3127" spans="1:8" x14ac:dyDescent="0.2">
      <c r="A3127" t="s">
        <v>7</v>
      </c>
      <c r="B3127" t="s">
        <v>73</v>
      </c>
    </row>
    <row r="3128" spans="1:8" x14ac:dyDescent="0.2">
      <c r="A3128" t="s">
        <v>8</v>
      </c>
      <c r="B3128" t="s">
        <v>9</v>
      </c>
    </row>
    <row r="3129" spans="1:8" x14ac:dyDescent="0.2">
      <c r="A3129" t="s">
        <v>10</v>
      </c>
      <c r="B3129" t="s">
        <v>10</v>
      </c>
    </row>
    <row r="3130" spans="1:8" x14ac:dyDescent="0.2">
      <c r="A3130" t="s">
        <v>11</v>
      </c>
      <c r="B3130" t="s">
        <v>12</v>
      </c>
    </row>
    <row r="3131" spans="1:8" x14ac:dyDescent="0.2">
      <c r="A3131" t="s">
        <v>13</v>
      </c>
      <c r="B3131" t="s">
        <v>291</v>
      </c>
    </row>
    <row r="3132" spans="1:8" x14ac:dyDescent="0.2">
      <c r="A3132" t="s">
        <v>14</v>
      </c>
      <c r="B3132" t="s">
        <v>271</v>
      </c>
    </row>
    <row r="3133" spans="1:8" x14ac:dyDescent="0.2">
      <c r="A3133" t="s">
        <v>16</v>
      </c>
      <c r="B3133" t="s">
        <v>15</v>
      </c>
    </row>
    <row r="3134" spans="1:8" x14ac:dyDescent="0.2">
      <c r="A3134" t="s">
        <v>17</v>
      </c>
      <c r="B3134" t="s">
        <v>186</v>
      </c>
    </row>
    <row r="3135" spans="1:8" ht="16" x14ac:dyDescent="0.2">
      <c r="A3135" s="1" t="s">
        <v>18</v>
      </c>
    </row>
    <row r="3136" spans="1:8" x14ac:dyDescent="0.2">
      <c r="A3136" t="s">
        <v>19</v>
      </c>
      <c r="B3136" t="s">
        <v>20</v>
      </c>
      <c r="C3136" t="s">
        <v>5</v>
      </c>
      <c r="D3136" t="s">
        <v>10</v>
      </c>
      <c r="E3136" t="s">
        <v>22</v>
      </c>
      <c r="F3136" t="s">
        <v>8</v>
      </c>
      <c r="G3136" t="s">
        <v>7</v>
      </c>
      <c r="H3136" t="s">
        <v>23</v>
      </c>
    </row>
    <row r="3137" spans="1:8" x14ac:dyDescent="0.2">
      <c r="A3137" t="s">
        <v>610</v>
      </c>
      <c r="B3137">
        <f>78.3</f>
        <v>78.3</v>
      </c>
      <c r="C3137" t="s">
        <v>33</v>
      </c>
      <c r="D3137" t="s">
        <v>39</v>
      </c>
      <c r="F3137" t="s">
        <v>28</v>
      </c>
      <c r="G3137" t="s">
        <v>611</v>
      </c>
      <c r="H3137" t="s">
        <v>34</v>
      </c>
    </row>
    <row r="3138" spans="1:8" x14ac:dyDescent="0.2">
      <c r="A3138" t="s">
        <v>61</v>
      </c>
      <c r="B3138">
        <v>143.26386373727729</v>
      </c>
      <c r="C3138" t="s">
        <v>33</v>
      </c>
      <c r="D3138" t="s">
        <v>27</v>
      </c>
      <c r="E3138" t="s">
        <v>15</v>
      </c>
      <c r="F3138" t="s">
        <v>28</v>
      </c>
      <c r="G3138" t="s">
        <v>61</v>
      </c>
      <c r="H3138" t="s">
        <v>62</v>
      </c>
    </row>
    <row r="3139" spans="1:8" x14ac:dyDescent="0.2">
      <c r="A3139" t="s">
        <v>283</v>
      </c>
      <c r="B3139">
        <v>5.9608695652173918</v>
      </c>
      <c r="C3139" t="s">
        <v>33</v>
      </c>
      <c r="D3139" t="s">
        <v>27</v>
      </c>
      <c r="E3139" t="s">
        <v>15</v>
      </c>
      <c r="F3139" t="s">
        <v>28</v>
      </c>
      <c r="G3139" t="s">
        <v>284</v>
      </c>
      <c r="H3139" t="s">
        <v>34</v>
      </c>
    </row>
    <row r="3140" spans="1:8" x14ac:dyDescent="0.2">
      <c r="A3140" t="s">
        <v>285</v>
      </c>
      <c r="B3140">
        <v>4.4706521739130434</v>
      </c>
      <c r="C3140" t="s">
        <v>33</v>
      </c>
      <c r="D3140" t="s">
        <v>27</v>
      </c>
      <c r="E3140" t="s">
        <v>15</v>
      </c>
      <c r="F3140" t="s">
        <v>28</v>
      </c>
      <c r="G3140" t="s">
        <v>286</v>
      </c>
      <c r="H3140" t="s">
        <v>34</v>
      </c>
    </row>
    <row r="3141" spans="1:8" x14ac:dyDescent="0.2">
      <c r="A3141" t="s">
        <v>278</v>
      </c>
      <c r="B3141">
        <v>62.532167347842822</v>
      </c>
      <c r="C3141" t="s">
        <v>33</v>
      </c>
      <c r="D3141" t="s">
        <v>27</v>
      </c>
      <c r="E3141" t="s">
        <v>15</v>
      </c>
      <c r="F3141" t="s">
        <v>28</v>
      </c>
      <c r="G3141" t="s">
        <v>279</v>
      </c>
      <c r="H3141" t="s">
        <v>275</v>
      </c>
    </row>
    <row r="3142" spans="1:8" x14ac:dyDescent="0.2">
      <c r="A3142" t="s">
        <v>272</v>
      </c>
      <c r="B3142">
        <v>1344.9260677377049</v>
      </c>
      <c r="C3142" t="s">
        <v>33</v>
      </c>
      <c r="D3142" t="s">
        <v>27</v>
      </c>
      <c r="E3142" t="s">
        <v>15</v>
      </c>
      <c r="F3142" t="s">
        <v>28</v>
      </c>
      <c r="G3142" t="s">
        <v>273</v>
      </c>
      <c r="H3142" t="s">
        <v>62</v>
      </c>
    </row>
    <row r="3143" spans="1:8" x14ac:dyDescent="0.2">
      <c r="A3143" t="s">
        <v>274</v>
      </c>
      <c r="B3143">
        <v>265.23591633196429</v>
      </c>
      <c r="C3143" t="s">
        <v>33</v>
      </c>
      <c r="D3143" t="s">
        <v>27</v>
      </c>
      <c r="E3143" t="s">
        <v>15</v>
      </c>
      <c r="F3143" t="s">
        <v>28</v>
      </c>
      <c r="G3143" t="s">
        <v>500</v>
      </c>
      <c r="H3143" t="s">
        <v>275</v>
      </c>
    </row>
    <row r="3144" spans="1:8" x14ac:dyDescent="0.2">
      <c r="A3144" t="s">
        <v>287</v>
      </c>
      <c r="B3144">
        <v>8.9413043478260867</v>
      </c>
      <c r="C3144" t="s">
        <v>33</v>
      </c>
      <c r="D3144" t="s">
        <v>27</v>
      </c>
      <c r="E3144" t="s">
        <v>15</v>
      </c>
      <c r="F3144" t="s">
        <v>28</v>
      </c>
      <c r="G3144" t="s">
        <v>288</v>
      </c>
      <c r="H3144" t="s">
        <v>34</v>
      </c>
    </row>
    <row r="3145" spans="1:8" x14ac:dyDescent="0.2">
      <c r="A3145" t="s">
        <v>289</v>
      </c>
      <c r="B3145">
        <v>3.973913043478261</v>
      </c>
      <c r="C3145" t="s">
        <v>33</v>
      </c>
      <c r="D3145" t="s">
        <v>27</v>
      </c>
      <c r="E3145" t="s">
        <v>15</v>
      </c>
      <c r="F3145" t="s">
        <v>28</v>
      </c>
      <c r="G3145" t="s">
        <v>290</v>
      </c>
      <c r="H3145" t="s">
        <v>34</v>
      </c>
    </row>
    <row r="3146" spans="1:8" x14ac:dyDescent="0.2">
      <c r="A3146" t="s">
        <v>280</v>
      </c>
      <c r="B3146">
        <v>-85.878906478277599</v>
      </c>
      <c r="C3146" t="s">
        <v>33</v>
      </c>
      <c r="D3146" t="s">
        <v>27</v>
      </c>
      <c r="E3146" t="s">
        <v>15</v>
      </c>
      <c r="F3146" t="s">
        <v>28</v>
      </c>
      <c r="G3146" t="s">
        <v>281</v>
      </c>
      <c r="H3146" t="s">
        <v>282</v>
      </c>
    </row>
    <row r="3147" spans="1:8" x14ac:dyDescent="0.2">
      <c r="A3147" t="s">
        <v>60</v>
      </c>
      <c r="B3147">
        <v>48.80416666666666</v>
      </c>
      <c r="C3147" t="s">
        <v>26</v>
      </c>
      <c r="D3147" t="s">
        <v>27</v>
      </c>
      <c r="E3147" t="s">
        <v>15</v>
      </c>
      <c r="F3147" t="s">
        <v>28</v>
      </c>
      <c r="G3147" t="s">
        <v>54</v>
      </c>
      <c r="H3147" t="s">
        <v>34</v>
      </c>
    </row>
    <row r="3148" spans="1:8" x14ac:dyDescent="0.2">
      <c r="A3148" t="s">
        <v>276</v>
      </c>
      <c r="B3148">
        <v>-1250.466370667094</v>
      </c>
      <c r="C3148" t="s">
        <v>33</v>
      </c>
      <c r="D3148" t="s">
        <v>27</v>
      </c>
      <c r="E3148" t="s">
        <v>15</v>
      </c>
      <c r="F3148" t="s">
        <v>28</v>
      </c>
      <c r="G3148" t="s">
        <v>277</v>
      </c>
      <c r="H3148" t="s">
        <v>25</v>
      </c>
    </row>
    <row r="3149" spans="1:8" x14ac:dyDescent="0.2">
      <c r="A3149" t="s">
        <v>501</v>
      </c>
      <c r="B3149">
        <v>-265.23591633196429</v>
      </c>
      <c r="C3149" t="s">
        <v>33</v>
      </c>
      <c r="D3149" t="s">
        <v>27</v>
      </c>
      <c r="E3149" t="s">
        <v>15</v>
      </c>
      <c r="F3149" t="s">
        <v>28</v>
      </c>
      <c r="G3149" t="s">
        <v>502</v>
      </c>
      <c r="H3149" t="s">
        <v>25</v>
      </c>
    </row>
    <row r="3150" spans="1:8" x14ac:dyDescent="0.2">
      <c r="A3150" t="s">
        <v>56</v>
      </c>
      <c r="B3150">
        <v>313.04030631344341</v>
      </c>
      <c r="C3150" t="s">
        <v>63</v>
      </c>
      <c r="D3150" t="s">
        <v>39</v>
      </c>
      <c r="E3150" t="s">
        <v>15</v>
      </c>
      <c r="F3150" t="s">
        <v>28</v>
      </c>
      <c r="G3150" t="s">
        <v>58</v>
      </c>
      <c r="H3150" t="s">
        <v>34</v>
      </c>
    </row>
    <row r="3151" spans="1:8" x14ac:dyDescent="0.2">
      <c r="A3151" t="s">
        <v>323</v>
      </c>
      <c r="B3151">
        <v>1</v>
      </c>
      <c r="C3151" t="s">
        <v>26</v>
      </c>
      <c r="D3151" t="s">
        <v>10</v>
      </c>
      <c r="E3151" t="s">
        <v>15</v>
      </c>
      <c r="F3151" t="s">
        <v>24</v>
      </c>
      <c r="G3151" t="s">
        <v>73</v>
      </c>
      <c r="H3151" t="s">
        <v>25</v>
      </c>
    </row>
    <row r="3154" spans="1:8" ht="16" x14ac:dyDescent="0.2">
      <c r="A3154" s="1" t="s">
        <v>4</v>
      </c>
      <c r="B3154" s="1" t="s">
        <v>380</v>
      </c>
    </row>
    <row r="3155" spans="1:8" x14ac:dyDescent="0.2">
      <c r="A3155" t="s">
        <v>5</v>
      </c>
      <c r="B3155" t="s">
        <v>26</v>
      </c>
    </row>
    <row r="3156" spans="1:8" x14ac:dyDescent="0.2">
      <c r="A3156" t="s">
        <v>6</v>
      </c>
      <c r="B3156">
        <v>1</v>
      </c>
    </row>
    <row r="3157" spans="1:8" x14ac:dyDescent="0.2">
      <c r="A3157" t="s">
        <v>7</v>
      </c>
      <c r="B3157" t="s">
        <v>71</v>
      </c>
    </row>
    <row r="3158" spans="1:8" x14ac:dyDescent="0.2">
      <c r="A3158" t="s">
        <v>8</v>
      </c>
      <c r="B3158" t="s">
        <v>9</v>
      </c>
    </row>
    <row r="3159" spans="1:8" x14ac:dyDescent="0.2">
      <c r="A3159" t="s">
        <v>10</v>
      </c>
      <c r="B3159" t="s">
        <v>10</v>
      </c>
    </row>
    <row r="3160" spans="1:8" x14ac:dyDescent="0.2">
      <c r="A3160" t="s">
        <v>11</v>
      </c>
      <c r="B3160" t="s">
        <v>12</v>
      </c>
    </row>
    <row r="3161" spans="1:8" x14ac:dyDescent="0.2">
      <c r="A3161" t="s">
        <v>13</v>
      </c>
      <c r="B3161" t="s">
        <v>291</v>
      </c>
    </row>
    <row r="3162" spans="1:8" x14ac:dyDescent="0.2">
      <c r="A3162" t="s">
        <v>14</v>
      </c>
      <c r="B3162" t="s">
        <v>271</v>
      </c>
    </row>
    <row r="3163" spans="1:8" x14ac:dyDescent="0.2">
      <c r="A3163" t="s">
        <v>16</v>
      </c>
      <c r="B3163" t="s">
        <v>15</v>
      </c>
    </row>
    <row r="3164" spans="1:8" x14ac:dyDescent="0.2">
      <c r="A3164" t="s">
        <v>17</v>
      </c>
      <c r="B3164" t="s">
        <v>187</v>
      </c>
    </row>
    <row r="3165" spans="1:8" ht="16" x14ac:dyDescent="0.2">
      <c r="A3165" s="1" t="s">
        <v>18</v>
      </c>
    </row>
    <row r="3166" spans="1:8" x14ac:dyDescent="0.2">
      <c r="A3166" t="s">
        <v>19</v>
      </c>
      <c r="B3166" t="s">
        <v>20</v>
      </c>
      <c r="C3166" t="s">
        <v>5</v>
      </c>
      <c r="D3166" t="s">
        <v>10</v>
      </c>
      <c r="E3166" t="s">
        <v>22</v>
      </c>
      <c r="F3166" t="s">
        <v>8</v>
      </c>
      <c r="G3166" t="s">
        <v>7</v>
      </c>
      <c r="H3166" t="s">
        <v>23</v>
      </c>
    </row>
    <row r="3167" spans="1:8" x14ac:dyDescent="0.2">
      <c r="A3167" t="s">
        <v>610</v>
      </c>
      <c r="B3167">
        <f>61.8</f>
        <v>61.8</v>
      </c>
      <c r="C3167" t="s">
        <v>33</v>
      </c>
      <c r="D3167" t="s">
        <v>39</v>
      </c>
      <c r="F3167" t="s">
        <v>28</v>
      </c>
      <c r="G3167" t="s">
        <v>611</v>
      </c>
      <c r="H3167" t="s">
        <v>34</v>
      </c>
    </row>
    <row r="3168" spans="1:8" x14ac:dyDescent="0.2">
      <c r="A3168" t="s">
        <v>61</v>
      </c>
      <c r="B3168">
        <v>135.7372329996582</v>
      </c>
      <c r="C3168" t="s">
        <v>33</v>
      </c>
      <c r="D3168" t="s">
        <v>27</v>
      </c>
      <c r="E3168" t="s">
        <v>15</v>
      </c>
      <c r="F3168" t="s">
        <v>28</v>
      </c>
      <c r="G3168" t="s">
        <v>61</v>
      </c>
      <c r="H3168" t="s">
        <v>62</v>
      </c>
    </row>
    <row r="3169" spans="1:8" x14ac:dyDescent="0.2">
      <c r="A3169" t="s">
        <v>283</v>
      </c>
      <c r="B3169">
        <v>5.9804347826086959</v>
      </c>
      <c r="C3169" t="s">
        <v>33</v>
      </c>
      <c r="D3169" t="s">
        <v>27</v>
      </c>
      <c r="E3169" t="s">
        <v>15</v>
      </c>
      <c r="F3169" t="s">
        <v>28</v>
      </c>
      <c r="G3169" t="s">
        <v>284</v>
      </c>
      <c r="H3169" t="s">
        <v>34</v>
      </c>
    </row>
    <row r="3170" spans="1:8" x14ac:dyDescent="0.2">
      <c r="A3170" t="s">
        <v>285</v>
      </c>
      <c r="B3170">
        <v>4.4853260869565217</v>
      </c>
      <c r="C3170" t="s">
        <v>33</v>
      </c>
      <c r="D3170" t="s">
        <v>27</v>
      </c>
      <c r="E3170" t="s">
        <v>15</v>
      </c>
      <c r="F3170" t="s">
        <v>28</v>
      </c>
      <c r="G3170" t="s">
        <v>286</v>
      </c>
      <c r="H3170" t="s">
        <v>34</v>
      </c>
    </row>
    <row r="3171" spans="1:8" x14ac:dyDescent="0.2">
      <c r="A3171" t="s">
        <v>278</v>
      </c>
      <c r="B3171">
        <v>49.809644525402518</v>
      </c>
      <c r="C3171" t="s">
        <v>33</v>
      </c>
      <c r="D3171" t="s">
        <v>27</v>
      </c>
      <c r="E3171" t="s">
        <v>15</v>
      </c>
      <c r="F3171" t="s">
        <v>28</v>
      </c>
      <c r="G3171" t="s">
        <v>279</v>
      </c>
      <c r="H3171" t="s">
        <v>275</v>
      </c>
    </row>
    <row r="3172" spans="1:8" x14ac:dyDescent="0.2">
      <c r="A3172" t="s">
        <v>272</v>
      </c>
      <c r="B3172">
        <v>1314.507940628268</v>
      </c>
      <c r="C3172" t="s">
        <v>33</v>
      </c>
      <c r="D3172" t="s">
        <v>27</v>
      </c>
      <c r="E3172" t="s">
        <v>15</v>
      </c>
      <c r="F3172" t="s">
        <v>28</v>
      </c>
      <c r="G3172" t="s">
        <v>273</v>
      </c>
      <c r="H3172" t="s">
        <v>62</v>
      </c>
    </row>
    <row r="3173" spans="1:8" x14ac:dyDescent="0.2">
      <c r="A3173" t="s">
        <v>274</v>
      </c>
      <c r="B3173">
        <v>257.88228519655928</v>
      </c>
      <c r="C3173" t="s">
        <v>33</v>
      </c>
      <c r="D3173" t="s">
        <v>27</v>
      </c>
      <c r="E3173" t="s">
        <v>15</v>
      </c>
      <c r="F3173" t="s">
        <v>28</v>
      </c>
      <c r="G3173" t="s">
        <v>500</v>
      </c>
      <c r="H3173" t="s">
        <v>275</v>
      </c>
    </row>
    <row r="3174" spans="1:8" x14ac:dyDescent="0.2">
      <c r="A3174" t="s">
        <v>287</v>
      </c>
      <c r="B3174">
        <v>8.9706521739130434</v>
      </c>
      <c r="C3174" t="s">
        <v>33</v>
      </c>
      <c r="D3174" t="s">
        <v>27</v>
      </c>
      <c r="E3174" t="s">
        <v>15</v>
      </c>
      <c r="F3174" t="s">
        <v>28</v>
      </c>
      <c r="G3174" t="s">
        <v>288</v>
      </c>
      <c r="H3174" t="s">
        <v>34</v>
      </c>
    </row>
    <row r="3175" spans="1:8" x14ac:dyDescent="0.2">
      <c r="A3175" t="s">
        <v>289</v>
      </c>
      <c r="B3175">
        <v>3.9869565217391298</v>
      </c>
      <c r="C3175" t="s">
        <v>33</v>
      </c>
      <c r="D3175" t="s">
        <v>27</v>
      </c>
      <c r="E3175" t="s">
        <v>15</v>
      </c>
      <c r="F3175" t="s">
        <v>28</v>
      </c>
      <c r="G3175" t="s">
        <v>290</v>
      </c>
      <c r="H3175" t="s">
        <v>34</v>
      </c>
    </row>
    <row r="3176" spans="1:8" x14ac:dyDescent="0.2">
      <c r="A3176" t="s">
        <v>280</v>
      </c>
      <c r="B3176">
        <v>-73.233014090619918</v>
      </c>
      <c r="C3176" t="s">
        <v>33</v>
      </c>
      <c r="D3176" t="s">
        <v>27</v>
      </c>
      <c r="E3176" t="s">
        <v>15</v>
      </c>
      <c r="F3176" t="s">
        <v>28</v>
      </c>
      <c r="G3176" t="s">
        <v>281</v>
      </c>
      <c r="H3176" t="s">
        <v>282</v>
      </c>
    </row>
    <row r="3177" spans="1:8" x14ac:dyDescent="0.2">
      <c r="A3177" t="s">
        <v>60</v>
      </c>
      <c r="B3177">
        <v>43.357291666666647</v>
      </c>
      <c r="C3177" t="s">
        <v>26</v>
      </c>
      <c r="D3177" t="s">
        <v>27</v>
      </c>
      <c r="E3177" t="s">
        <v>15</v>
      </c>
      <c r="F3177" t="s">
        <v>28</v>
      </c>
      <c r="G3177" t="s">
        <v>54</v>
      </c>
      <c r="H3177" t="s">
        <v>34</v>
      </c>
    </row>
    <row r="3178" spans="1:8" x14ac:dyDescent="0.2">
      <c r="A3178" t="s">
        <v>276</v>
      </c>
      <c r="B3178">
        <v>-1222.127999295277</v>
      </c>
      <c r="C3178" t="s">
        <v>33</v>
      </c>
      <c r="D3178" t="s">
        <v>27</v>
      </c>
      <c r="E3178" t="s">
        <v>15</v>
      </c>
      <c r="F3178" t="s">
        <v>28</v>
      </c>
      <c r="G3178" t="s">
        <v>277</v>
      </c>
      <c r="H3178" t="s">
        <v>25</v>
      </c>
    </row>
    <row r="3179" spans="1:8" x14ac:dyDescent="0.2">
      <c r="A3179" t="s">
        <v>501</v>
      </c>
      <c r="B3179">
        <v>-257.88228519655928</v>
      </c>
      <c r="C3179" t="s">
        <v>33</v>
      </c>
      <c r="D3179" t="s">
        <v>27</v>
      </c>
      <c r="E3179" t="s">
        <v>15</v>
      </c>
      <c r="F3179" t="s">
        <v>28</v>
      </c>
      <c r="G3179" t="s">
        <v>502</v>
      </c>
      <c r="H3179" t="s">
        <v>25</v>
      </c>
    </row>
    <row r="3180" spans="1:8" x14ac:dyDescent="0.2">
      <c r="A3180" t="s">
        <v>56</v>
      </c>
      <c r="B3180">
        <v>371.00572763558989</v>
      </c>
      <c r="C3180" t="s">
        <v>63</v>
      </c>
      <c r="D3180" t="s">
        <v>39</v>
      </c>
      <c r="E3180" t="s">
        <v>15</v>
      </c>
      <c r="F3180" t="s">
        <v>28</v>
      </c>
      <c r="G3180" t="s">
        <v>58</v>
      </c>
      <c r="H3180" t="s">
        <v>34</v>
      </c>
    </row>
    <row r="3181" spans="1:8" x14ac:dyDescent="0.2">
      <c r="A3181" t="s">
        <v>380</v>
      </c>
      <c r="B3181">
        <v>1</v>
      </c>
      <c r="C3181" t="s">
        <v>26</v>
      </c>
      <c r="D3181" t="s">
        <v>10</v>
      </c>
      <c r="E3181" t="s">
        <v>15</v>
      </c>
      <c r="F3181" t="s">
        <v>24</v>
      </c>
      <c r="G3181" t="s">
        <v>71</v>
      </c>
      <c r="H3181" t="s">
        <v>25</v>
      </c>
    </row>
    <row r="3183" spans="1:8" ht="16" x14ac:dyDescent="0.2">
      <c r="A3183" s="1" t="s">
        <v>4</v>
      </c>
      <c r="B3183" s="1" t="s">
        <v>324</v>
      </c>
    </row>
    <row r="3184" spans="1:8" x14ac:dyDescent="0.2">
      <c r="A3184" t="s">
        <v>5</v>
      </c>
      <c r="B3184" t="s">
        <v>26</v>
      </c>
    </row>
    <row r="3185" spans="1:8" x14ac:dyDescent="0.2">
      <c r="A3185" t="s">
        <v>6</v>
      </c>
      <c r="B3185">
        <v>1</v>
      </c>
    </row>
    <row r="3186" spans="1:8" x14ac:dyDescent="0.2">
      <c r="A3186" t="s">
        <v>7</v>
      </c>
      <c r="B3186" t="s">
        <v>73</v>
      </c>
    </row>
    <row r="3187" spans="1:8" x14ac:dyDescent="0.2">
      <c r="A3187" t="s">
        <v>8</v>
      </c>
      <c r="B3187" t="s">
        <v>9</v>
      </c>
    </row>
    <row r="3188" spans="1:8" x14ac:dyDescent="0.2">
      <c r="A3188" t="s">
        <v>10</v>
      </c>
      <c r="B3188" t="s">
        <v>10</v>
      </c>
    </row>
    <row r="3189" spans="1:8" x14ac:dyDescent="0.2">
      <c r="A3189" t="s">
        <v>11</v>
      </c>
      <c r="B3189" t="s">
        <v>12</v>
      </c>
    </row>
    <row r="3190" spans="1:8" x14ac:dyDescent="0.2">
      <c r="A3190" t="s">
        <v>13</v>
      </c>
      <c r="B3190" t="s">
        <v>291</v>
      </c>
    </row>
    <row r="3191" spans="1:8" x14ac:dyDescent="0.2">
      <c r="A3191" t="s">
        <v>14</v>
      </c>
      <c r="B3191" t="s">
        <v>271</v>
      </c>
    </row>
    <row r="3192" spans="1:8" x14ac:dyDescent="0.2">
      <c r="A3192" t="s">
        <v>16</v>
      </c>
      <c r="B3192" t="s">
        <v>15</v>
      </c>
    </row>
    <row r="3193" spans="1:8" x14ac:dyDescent="0.2">
      <c r="A3193" t="s">
        <v>17</v>
      </c>
      <c r="B3193" t="s">
        <v>188</v>
      </c>
    </row>
    <row r="3194" spans="1:8" ht="16" x14ac:dyDescent="0.2">
      <c r="A3194" s="1" t="s">
        <v>18</v>
      </c>
    </row>
    <row r="3195" spans="1:8" x14ac:dyDescent="0.2">
      <c r="A3195" t="s">
        <v>19</v>
      </c>
      <c r="B3195" t="s">
        <v>20</v>
      </c>
      <c r="C3195" t="s">
        <v>5</v>
      </c>
      <c r="D3195" t="s">
        <v>10</v>
      </c>
      <c r="E3195" t="s">
        <v>22</v>
      </c>
      <c r="F3195" t="s">
        <v>8</v>
      </c>
      <c r="G3195" t="s">
        <v>7</v>
      </c>
      <c r="H3195" t="s">
        <v>23</v>
      </c>
    </row>
    <row r="3196" spans="1:8" x14ac:dyDescent="0.2">
      <c r="A3196" t="s">
        <v>610</v>
      </c>
      <c r="B3196">
        <f>78.3</f>
        <v>78.3</v>
      </c>
      <c r="C3196" t="s">
        <v>33</v>
      </c>
      <c r="D3196" t="s">
        <v>39</v>
      </c>
      <c r="F3196" t="s">
        <v>28</v>
      </c>
      <c r="G3196" t="s">
        <v>611</v>
      </c>
      <c r="H3196" t="s">
        <v>34</v>
      </c>
    </row>
    <row r="3197" spans="1:8" x14ac:dyDescent="0.2">
      <c r="A3197" t="s">
        <v>61</v>
      </c>
      <c r="B3197">
        <v>143.26386373727729</v>
      </c>
      <c r="C3197" t="s">
        <v>33</v>
      </c>
      <c r="D3197" t="s">
        <v>27</v>
      </c>
      <c r="E3197" t="s">
        <v>15</v>
      </c>
      <c r="F3197" t="s">
        <v>28</v>
      </c>
      <c r="G3197" t="s">
        <v>61</v>
      </c>
      <c r="H3197" t="s">
        <v>62</v>
      </c>
    </row>
    <row r="3198" spans="1:8" x14ac:dyDescent="0.2">
      <c r="A3198" t="s">
        <v>283</v>
      </c>
      <c r="B3198">
        <v>5.9608695652173918</v>
      </c>
      <c r="C3198" t="s">
        <v>33</v>
      </c>
      <c r="D3198" t="s">
        <v>27</v>
      </c>
      <c r="E3198" t="s">
        <v>15</v>
      </c>
      <c r="F3198" t="s">
        <v>28</v>
      </c>
      <c r="G3198" t="s">
        <v>284</v>
      </c>
      <c r="H3198" t="s">
        <v>34</v>
      </c>
    </row>
    <row r="3199" spans="1:8" x14ac:dyDescent="0.2">
      <c r="A3199" t="s">
        <v>285</v>
      </c>
      <c r="B3199">
        <v>4.4706521739130434</v>
      </c>
      <c r="C3199" t="s">
        <v>33</v>
      </c>
      <c r="D3199" t="s">
        <v>27</v>
      </c>
      <c r="E3199" t="s">
        <v>15</v>
      </c>
      <c r="F3199" t="s">
        <v>28</v>
      </c>
      <c r="G3199" t="s">
        <v>286</v>
      </c>
      <c r="H3199" t="s">
        <v>34</v>
      </c>
    </row>
    <row r="3200" spans="1:8" x14ac:dyDescent="0.2">
      <c r="A3200" t="s">
        <v>278</v>
      </c>
      <c r="B3200">
        <v>62.532167347842822</v>
      </c>
      <c r="C3200" t="s">
        <v>33</v>
      </c>
      <c r="D3200" t="s">
        <v>27</v>
      </c>
      <c r="E3200" t="s">
        <v>15</v>
      </c>
      <c r="F3200" t="s">
        <v>28</v>
      </c>
      <c r="G3200" t="s">
        <v>279</v>
      </c>
      <c r="H3200" t="s">
        <v>275</v>
      </c>
    </row>
    <row r="3201" spans="1:8" x14ac:dyDescent="0.2">
      <c r="A3201" t="s">
        <v>272</v>
      </c>
      <c r="B3201">
        <v>1344.9260677377049</v>
      </c>
      <c r="C3201" t="s">
        <v>33</v>
      </c>
      <c r="D3201" t="s">
        <v>27</v>
      </c>
      <c r="E3201" t="s">
        <v>15</v>
      </c>
      <c r="F3201" t="s">
        <v>28</v>
      </c>
      <c r="G3201" t="s">
        <v>273</v>
      </c>
      <c r="H3201" t="s">
        <v>62</v>
      </c>
    </row>
    <row r="3202" spans="1:8" x14ac:dyDescent="0.2">
      <c r="A3202" t="s">
        <v>274</v>
      </c>
      <c r="B3202">
        <v>250.69771068912041</v>
      </c>
      <c r="C3202" t="s">
        <v>33</v>
      </c>
      <c r="D3202" t="s">
        <v>27</v>
      </c>
      <c r="E3202" t="s">
        <v>15</v>
      </c>
      <c r="F3202" t="s">
        <v>28</v>
      </c>
      <c r="G3202" t="s">
        <v>500</v>
      </c>
      <c r="H3202" t="s">
        <v>275</v>
      </c>
    </row>
    <row r="3203" spans="1:8" x14ac:dyDescent="0.2">
      <c r="A3203" t="s">
        <v>287</v>
      </c>
      <c r="B3203">
        <v>8.9413043478260867</v>
      </c>
      <c r="C3203" t="s">
        <v>33</v>
      </c>
      <c r="D3203" t="s">
        <v>27</v>
      </c>
      <c r="E3203" t="s">
        <v>15</v>
      </c>
      <c r="F3203" t="s">
        <v>28</v>
      </c>
      <c r="G3203" t="s">
        <v>288</v>
      </c>
      <c r="H3203" t="s">
        <v>34</v>
      </c>
    </row>
    <row r="3204" spans="1:8" x14ac:dyDescent="0.2">
      <c r="A3204" t="s">
        <v>289</v>
      </c>
      <c r="B3204">
        <v>3.973913043478261</v>
      </c>
      <c r="C3204" t="s">
        <v>33</v>
      </c>
      <c r="D3204" t="s">
        <v>27</v>
      </c>
      <c r="E3204" t="s">
        <v>15</v>
      </c>
      <c r="F3204" t="s">
        <v>28</v>
      </c>
      <c r="G3204" t="s">
        <v>290</v>
      </c>
      <c r="H3204" t="s">
        <v>34</v>
      </c>
    </row>
    <row r="3205" spans="1:8" x14ac:dyDescent="0.2">
      <c r="A3205" t="s">
        <v>280</v>
      </c>
      <c r="B3205">
        <v>-85.878906478277599</v>
      </c>
      <c r="C3205" t="s">
        <v>33</v>
      </c>
      <c r="D3205" t="s">
        <v>27</v>
      </c>
      <c r="E3205" t="s">
        <v>15</v>
      </c>
      <c r="F3205" t="s">
        <v>28</v>
      </c>
      <c r="G3205" t="s">
        <v>281</v>
      </c>
      <c r="H3205" t="s">
        <v>282</v>
      </c>
    </row>
    <row r="3206" spans="1:8" x14ac:dyDescent="0.2">
      <c r="A3206" t="s">
        <v>60</v>
      </c>
      <c r="B3206">
        <v>49.264583333333327</v>
      </c>
      <c r="C3206" t="s">
        <v>26</v>
      </c>
      <c r="D3206" t="s">
        <v>27</v>
      </c>
      <c r="E3206" t="s">
        <v>15</v>
      </c>
      <c r="F3206" t="s">
        <v>28</v>
      </c>
      <c r="G3206" t="s">
        <v>54</v>
      </c>
      <c r="H3206" t="s">
        <v>34</v>
      </c>
    </row>
    <row r="3207" spans="1:8" x14ac:dyDescent="0.2">
      <c r="A3207" t="s">
        <v>276</v>
      </c>
      <c r="B3207">
        <v>-1250.926787333761</v>
      </c>
      <c r="C3207" t="s">
        <v>33</v>
      </c>
      <c r="D3207" t="s">
        <v>27</v>
      </c>
      <c r="E3207" t="s">
        <v>15</v>
      </c>
      <c r="F3207" t="s">
        <v>28</v>
      </c>
      <c r="G3207" t="s">
        <v>277</v>
      </c>
      <c r="H3207" t="s">
        <v>25</v>
      </c>
    </row>
    <row r="3208" spans="1:8" x14ac:dyDescent="0.2">
      <c r="A3208" t="s">
        <v>501</v>
      </c>
      <c r="B3208">
        <v>-250.69771068912041</v>
      </c>
      <c r="C3208" t="s">
        <v>33</v>
      </c>
      <c r="D3208" t="s">
        <v>27</v>
      </c>
      <c r="E3208" t="s">
        <v>15</v>
      </c>
      <c r="F3208" t="s">
        <v>28</v>
      </c>
      <c r="G3208" t="s">
        <v>502</v>
      </c>
      <c r="H3208" t="s">
        <v>25</v>
      </c>
    </row>
    <row r="3209" spans="1:8" x14ac:dyDescent="0.2">
      <c r="A3209" t="s">
        <v>56</v>
      </c>
      <c r="B3209">
        <v>313.04030631344341</v>
      </c>
      <c r="C3209" t="s">
        <v>63</v>
      </c>
      <c r="D3209" t="s">
        <v>39</v>
      </c>
      <c r="E3209" t="s">
        <v>15</v>
      </c>
      <c r="F3209" t="s">
        <v>28</v>
      </c>
      <c r="G3209" t="s">
        <v>58</v>
      </c>
      <c r="H3209" t="s">
        <v>34</v>
      </c>
    </row>
    <row r="3210" spans="1:8" x14ac:dyDescent="0.2">
      <c r="A3210" t="s">
        <v>324</v>
      </c>
      <c r="B3210">
        <v>1</v>
      </c>
      <c r="C3210" t="s">
        <v>26</v>
      </c>
      <c r="D3210" t="s">
        <v>10</v>
      </c>
      <c r="E3210" t="s">
        <v>15</v>
      </c>
      <c r="F3210" t="s">
        <v>24</v>
      </c>
      <c r="G3210" t="s">
        <v>73</v>
      </c>
      <c r="H3210" t="s">
        <v>25</v>
      </c>
    </row>
    <row r="3213" spans="1:8" ht="16" x14ac:dyDescent="0.2">
      <c r="A3213" s="1" t="s">
        <v>4</v>
      </c>
      <c r="B3213" s="1" t="s">
        <v>480</v>
      </c>
    </row>
    <row r="3214" spans="1:8" x14ac:dyDescent="0.2">
      <c r="A3214" t="s">
        <v>5</v>
      </c>
      <c r="B3214" t="s">
        <v>26</v>
      </c>
    </row>
    <row r="3215" spans="1:8" x14ac:dyDescent="0.2">
      <c r="A3215" t="s">
        <v>6</v>
      </c>
      <c r="B3215">
        <v>1</v>
      </c>
    </row>
    <row r="3216" spans="1:8" x14ac:dyDescent="0.2">
      <c r="A3216" t="s">
        <v>7</v>
      </c>
      <c r="B3216" t="s">
        <v>88</v>
      </c>
    </row>
    <row r="3217" spans="1:8" x14ac:dyDescent="0.2">
      <c r="A3217" t="s">
        <v>8</v>
      </c>
      <c r="B3217" t="s">
        <v>9</v>
      </c>
    </row>
    <row r="3218" spans="1:8" x14ac:dyDescent="0.2">
      <c r="A3218" t="s">
        <v>10</v>
      </c>
      <c r="B3218" t="s">
        <v>10</v>
      </c>
    </row>
    <row r="3219" spans="1:8" x14ac:dyDescent="0.2">
      <c r="A3219" t="s">
        <v>11</v>
      </c>
      <c r="B3219" t="s">
        <v>12</v>
      </c>
    </row>
    <row r="3220" spans="1:8" x14ac:dyDescent="0.2">
      <c r="A3220" t="s">
        <v>13</v>
      </c>
      <c r="B3220" t="s">
        <v>291</v>
      </c>
    </row>
    <row r="3221" spans="1:8" x14ac:dyDescent="0.2">
      <c r="A3221" t="s">
        <v>14</v>
      </c>
      <c r="B3221" t="s">
        <v>271</v>
      </c>
    </row>
    <row r="3222" spans="1:8" x14ac:dyDescent="0.2">
      <c r="A3222" t="s">
        <v>16</v>
      </c>
      <c r="B3222" t="s">
        <v>15</v>
      </c>
    </row>
    <row r="3223" spans="1:8" x14ac:dyDescent="0.2">
      <c r="A3223" t="s">
        <v>17</v>
      </c>
      <c r="B3223" t="s">
        <v>189</v>
      </c>
    </row>
    <row r="3224" spans="1:8" ht="16" x14ac:dyDescent="0.2">
      <c r="A3224" s="1" t="s">
        <v>18</v>
      </c>
    </row>
    <row r="3225" spans="1:8" x14ac:dyDescent="0.2">
      <c r="A3225" t="s">
        <v>19</v>
      </c>
      <c r="B3225" t="s">
        <v>20</v>
      </c>
      <c r="C3225" t="s">
        <v>5</v>
      </c>
      <c r="D3225" t="s">
        <v>10</v>
      </c>
      <c r="E3225" t="s">
        <v>22</v>
      </c>
      <c r="F3225" t="s">
        <v>8</v>
      </c>
      <c r="G3225" t="s">
        <v>7</v>
      </c>
      <c r="H3225" t="s">
        <v>23</v>
      </c>
    </row>
    <row r="3226" spans="1:8" x14ac:dyDescent="0.2">
      <c r="A3226" t="s">
        <v>610</v>
      </c>
      <c r="B3226">
        <f>23.8</f>
        <v>23.8</v>
      </c>
      <c r="C3226" t="s">
        <v>33</v>
      </c>
      <c r="D3226" t="s">
        <v>39</v>
      </c>
      <c r="F3226" t="s">
        <v>28</v>
      </c>
      <c r="G3226" t="s">
        <v>611</v>
      </c>
      <c r="H3226" t="s">
        <v>34</v>
      </c>
    </row>
    <row r="3227" spans="1:8" x14ac:dyDescent="0.2">
      <c r="A3227" t="s">
        <v>484</v>
      </c>
      <c r="B3227">
        <v>117.39130434782609</v>
      </c>
      <c r="C3227" t="s">
        <v>26</v>
      </c>
      <c r="D3227" t="s">
        <v>27</v>
      </c>
      <c r="E3227" t="s">
        <v>15</v>
      </c>
      <c r="F3227" t="s">
        <v>28</v>
      </c>
      <c r="G3227" t="s">
        <v>485</v>
      </c>
      <c r="H3227" t="s">
        <v>34</v>
      </c>
    </row>
    <row r="3228" spans="1:8" x14ac:dyDescent="0.2">
      <c r="A3228" t="s">
        <v>61</v>
      </c>
      <c r="B3228">
        <v>127.82608695652181</v>
      </c>
      <c r="C3228" t="s">
        <v>33</v>
      </c>
      <c r="D3228" t="s">
        <v>27</v>
      </c>
      <c r="E3228" t="s">
        <v>15</v>
      </c>
      <c r="F3228" t="s">
        <v>28</v>
      </c>
      <c r="G3228" t="s">
        <v>61</v>
      </c>
      <c r="H3228" t="s">
        <v>62</v>
      </c>
    </row>
    <row r="3229" spans="1:8" ht="16" x14ac:dyDescent="0.2">
      <c r="A3229" s="2" t="s">
        <v>503</v>
      </c>
      <c r="B3229">
        <v>22.5</v>
      </c>
      <c r="C3229" t="s">
        <v>505</v>
      </c>
      <c r="D3229" t="s">
        <v>10</v>
      </c>
      <c r="E3229" t="s">
        <v>15</v>
      </c>
      <c r="F3229" t="s">
        <v>28</v>
      </c>
      <c r="G3229" t="s">
        <v>504</v>
      </c>
      <c r="H3229" t="s">
        <v>34</v>
      </c>
    </row>
    <row r="3230" spans="1:8" x14ac:dyDescent="0.2">
      <c r="A3230" t="s">
        <v>285</v>
      </c>
      <c r="B3230">
        <v>4.4706521739130434</v>
      </c>
      <c r="C3230" t="s">
        <v>33</v>
      </c>
      <c r="D3230" t="s">
        <v>27</v>
      </c>
      <c r="E3230" t="s">
        <v>15</v>
      </c>
      <c r="F3230" t="s">
        <v>28</v>
      </c>
      <c r="G3230" t="s">
        <v>286</v>
      </c>
      <c r="H3230" t="s">
        <v>34</v>
      </c>
    </row>
    <row r="3231" spans="1:8" x14ac:dyDescent="0.2">
      <c r="A3231" t="s">
        <v>278</v>
      </c>
      <c r="B3231">
        <v>78.263993128797125</v>
      </c>
      <c r="C3231" t="s">
        <v>33</v>
      </c>
      <c r="D3231" t="s">
        <v>27</v>
      </c>
      <c r="E3231" t="s">
        <v>15</v>
      </c>
      <c r="F3231" t="s">
        <v>28</v>
      </c>
      <c r="G3231" t="s">
        <v>279</v>
      </c>
      <c r="H3231" t="s">
        <v>275</v>
      </c>
    </row>
    <row r="3232" spans="1:8" x14ac:dyDescent="0.2">
      <c r="A3232" t="s">
        <v>272</v>
      </c>
      <c r="B3232">
        <v>1200</v>
      </c>
      <c r="C3232" t="s">
        <v>33</v>
      </c>
      <c r="D3232" t="s">
        <v>27</v>
      </c>
      <c r="E3232" t="s">
        <v>15</v>
      </c>
      <c r="F3232" t="s">
        <v>28</v>
      </c>
      <c r="G3232" t="s">
        <v>273</v>
      </c>
      <c r="H3232" t="s">
        <v>62</v>
      </c>
    </row>
    <row r="3233" spans="1:8" x14ac:dyDescent="0.2">
      <c r="A3233" t="s">
        <v>274</v>
      </c>
      <c r="B3233">
        <v>80.712287976404994</v>
      </c>
      <c r="C3233" t="s">
        <v>33</v>
      </c>
      <c r="D3233" t="s">
        <v>27</v>
      </c>
      <c r="E3233" t="s">
        <v>15</v>
      </c>
      <c r="F3233" t="s">
        <v>28</v>
      </c>
      <c r="G3233" t="s">
        <v>500</v>
      </c>
      <c r="H3233" t="s">
        <v>275</v>
      </c>
    </row>
    <row r="3234" spans="1:8" x14ac:dyDescent="0.2">
      <c r="A3234" t="s">
        <v>287</v>
      </c>
      <c r="B3234">
        <v>8.9413043478260867</v>
      </c>
      <c r="C3234" t="s">
        <v>33</v>
      </c>
      <c r="D3234" t="s">
        <v>27</v>
      </c>
      <c r="E3234" t="s">
        <v>15</v>
      </c>
      <c r="F3234" t="s">
        <v>28</v>
      </c>
      <c r="G3234" t="s">
        <v>288</v>
      </c>
      <c r="H3234" t="s">
        <v>34</v>
      </c>
    </row>
    <row r="3235" spans="1:8" x14ac:dyDescent="0.2">
      <c r="A3235" t="s">
        <v>289</v>
      </c>
      <c r="B3235">
        <v>3.973913043478261</v>
      </c>
      <c r="C3235" t="s">
        <v>33</v>
      </c>
      <c r="D3235" t="s">
        <v>27</v>
      </c>
      <c r="E3235" t="s">
        <v>15</v>
      </c>
      <c r="F3235" t="s">
        <v>28</v>
      </c>
      <c r="G3235" t="s">
        <v>290</v>
      </c>
      <c r="H3235" t="s">
        <v>34</v>
      </c>
    </row>
    <row r="3236" spans="1:8" x14ac:dyDescent="0.2">
      <c r="A3236" t="s">
        <v>280</v>
      </c>
      <c r="B3236">
        <v>-277.52702968435841</v>
      </c>
      <c r="C3236" t="s">
        <v>33</v>
      </c>
      <c r="D3236" t="s">
        <v>27</v>
      </c>
      <c r="E3236" t="s">
        <v>15</v>
      </c>
      <c r="F3236" t="s">
        <v>28</v>
      </c>
      <c r="G3236" t="s">
        <v>281</v>
      </c>
      <c r="H3236" t="s">
        <v>282</v>
      </c>
    </row>
    <row r="3237" spans="1:8" x14ac:dyDescent="0.2">
      <c r="A3237" t="s">
        <v>276</v>
      </c>
      <c r="B3237">
        <v>-1189.565217391304</v>
      </c>
      <c r="C3237" t="s">
        <v>33</v>
      </c>
      <c r="D3237" t="s">
        <v>27</v>
      </c>
      <c r="E3237" t="s">
        <v>15</v>
      </c>
      <c r="F3237" t="s">
        <v>28</v>
      </c>
      <c r="G3237" t="s">
        <v>277</v>
      </c>
      <c r="H3237" t="s">
        <v>25</v>
      </c>
    </row>
    <row r="3238" spans="1:8" x14ac:dyDescent="0.2">
      <c r="A3238" t="s">
        <v>501</v>
      </c>
      <c r="B3238">
        <v>-80.712287976404994</v>
      </c>
      <c r="C3238" t="s">
        <v>33</v>
      </c>
      <c r="D3238" t="s">
        <v>27</v>
      </c>
      <c r="E3238" t="s">
        <v>15</v>
      </c>
      <c r="F3238" t="s">
        <v>28</v>
      </c>
      <c r="G3238" t="s">
        <v>502</v>
      </c>
      <c r="H3238" t="s">
        <v>25</v>
      </c>
    </row>
    <row r="3239" spans="1:8" x14ac:dyDescent="0.2">
      <c r="A3239" t="s">
        <v>56</v>
      </c>
      <c r="B3239">
        <v>95.137586065013011</v>
      </c>
      <c r="C3239" t="s">
        <v>63</v>
      </c>
      <c r="D3239" t="s">
        <v>39</v>
      </c>
      <c r="E3239" t="s">
        <v>15</v>
      </c>
      <c r="F3239" t="s">
        <v>28</v>
      </c>
      <c r="G3239" t="s">
        <v>58</v>
      </c>
      <c r="H3239" t="s">
        <v>34</v>
      </c>
    </row>
    <row r="3240" spans="1:8" x14ac:dyDescent="0.2">
      <c r="A3240" t="s">
        <v>480</v>
      </c>
      <c r="B3240">
        <v>1</v>
      </c>
      <c r="C3240" t="s">
        <v>26</v>
      </c>
      <c r="D3240" t="s">
        <v>10</v>
      </c>
      <c r="E3240" t="s">
        <v>15</v>
      </c>
      <c r="F3240" t="s">
        <v>24</v>
      </c>
      <c r="G3240" t="s">
        <v>88</v>
      </c>
      <c r="H3240" t="s">
        <v>25</v>
      </c>
    </row>
    <row r="3243" spans="1:8" ht="16" x14ac:dyDescent="0.2">
      <c r="A3243" s="1" t="s">
        <v>4</v>
      </c>
      <c r="B3243" s="1" t="s">
        <v>492</v>
      </c>
    </row>
    <row r="3244" spans="1:8" x14ac:dyDescent="0.2">
      <c r="A3244" t="s">
        <v>5</v>
      </c>
      <c r="B3244" t="s">
        <v>26</v>
      </c>
    </row>
    <row r="3245" spans="1:8" x14ac:dyDescent="0.2">
      <c r="A3245" t="s">
        <v>6</v>
      </c>
      <c r="B3245">
        <v>1</v>
      </c>
    </row>
    <row r="3246" spans="1:8" x14ac:dyDescent="0.2">
      <c r="A3246" t="s">
        <v>7</v>
      </c>
      <c r="B3246" t="s">
        <v>88</v>
      </c>
    </row>
    <row r="3247" spans="1:8" x14ac:dyDescent="0.2">
      <c r="A3247" t="s">
        <v>8</v>
      </c>
      <c r="B3247" t="s">
        <v>9</v>
      </c>
    </row>
    <row r="3248" spans="1:8" x14ac:dyDescent="0.2">
      <c r="A3248" t="s">
        <v>10</v>
      </c>
      <c r="B3248" t="s">
        <v>10</v>
      </c>
    </row>
    <row r="3249" spans="1:8" x14ac:dyDescent="0.2">
      <c r="A3249" t="s">
        <v>11</v>
      </c>
      <c r="B3249" t="s">
        <v>12</v>
      </c>
    </row>
    <row r="3250" spans="1:8" x14ac:dyDescent="0.2">
      <c r="A3250" t="s">
        <v>13</v>
      </c>
      <c r="B3250" t="s">
        <v>291</v>
      </c>
    </row>
    <row r="3251" spans="1:8" x14ac:dyDescent="0.2">
      <c r="A3251" t="s">
        <v>14</v>
      </c>
      <c r="B3251" t="s">
        <v>271</v>
      </c>
    </row>
    <row r="3252" spans="1:8" x14ac:dyDescent="0.2">
      <c r="A3252" t="s">
        <v>16</v>
      </c>
      <c r="B3252" t="s">
        <v>15</v>
      </c>
    </row>
    <row r="3253" spans="1:8" x14ac:dyDescent="0.2">
      <c r="A3253" t="s">
        <v>17</v>
      </c>
      <c r="B3253" t="s">
        <v>190</v>
      </c>
    </row>
    <row r="3254" spans="1:8" ht="16" x14ac:dyDescent="0.2">
      <c r="A3254" s="1" t="s">
        <v>18</v>
      </c>
    </row>
    <row r="3255" spans="1:8" x14ac:dyDescent="0.2">
      <c r="A3255" t="s">
        <v>19</v>
      </c>
      <c r="B3255" t="s">
        <v>20</v>
      </c>
      <c r="C3255" t="s">
        <v>5</v>
      </c>
      <c r="D3255" t="s">
        <v>10</v>
      </c>
      <c r="E3255" t="s">
        <v>22</v>
      </c>
      <c r="F3255" t="s">
        <v>8</v>
      </c>
      <c r="G3255" t="s">
        <v>7</v>
      </c>
      <c r="H3255" t="s">
        <v>23</v>
      </c>
    </row>
    <row r="3256" spans="1:8" x14ac:dyDescent="0.2">
      <c r="A3256" t="s">
        <v>610</v>
      </c>
      <c r="B3256">
        <v>55</v>
      </c>
      <c r="C3256" t="s">
        <v>33</v>
      </c>
      <c r="D3256" t="s">
        <v>39</v>
      </c>
      <c r="F3256" t="s">
        <v>28</v>
      </c>
      <c r="G3256" t="s">
        <v>611</v>
      </c>
      <c r="H3256" t="s">
        <v>34</v>
      </c>
    </row>
    <row r="3257" spans="1:8" x14ac:dyDescent="0.2">
      <c r="A3257" t="s">
        <v>61</v>
      </c>
      <c r="B3257">
        <v>196</v>
      </c>
      <c r="C3257" t="s">
        <v>33</v>
      </c>
      <c r="D3257" t="s">
        <v>27</v>
      </c>
      <c r="E3257" t="s">
        <v>15</v>
      </c>
      <c r="F3257" t="s">
        <v>28</v>
      </c>
      <c r="G3257" t="s">
        <v>61</v>
      </c>
      <c r="H3257" t="s">
        <v>62</v>
      </c>
    </row>
    <row r="3258" spans="1:8" x14ac:dyDescent="0.2">
      <c r="A3258" t="s">
        <v>283</v>
      </c>
      <c r="B3258">
        <v>5.9608695652173918</v>
      </c>
      <c r="C3258" t="s">
        <v>33</v>
      </c>
      <c r="D3258" t="s">
        <v>27</v>
      </c>
      <c r="E3258" t="s">
        <v>15</v>
      </c>
      <c r="F3258" t="s">
        <v>28</v>
      </c>
      <c r="G3258" t="s">
        <v>284</v>
      </c>
      <c r="H3258" t="s">
        <v>34</v>
      </c>
    </row>
    <row r="3259" spans="1:8" x14ac:dyDescent="0.2">
      <c r="A3259" t="s">
        <v>285</v>
      </c>
      <c r="B3259">
        <v>4.4706521739130434</v>
      </c>
      <c r="C3259" t="s">
        <v>33</v>
      </c>
      <c r="D3259" t="s">
        <v>27</v>
      </c>
      <c r="E3259" t="s">
        <v>15</v>
      </c>
      <c r="F3259" t="s">
        <v>28</v>
      </c>
      <c r="G3259" t="s">
        <v>286</v>
      </c>
      <c r="H3259" t="s">
        <v>34</v>
      </c>
    </row>
    <row r="3260" spans="1:8" x14ac:dyDescent="0.2">
      <c r="A3260" t="s">
        <v>278</v>
      </c>
      <c r="B3260">
        <v>89.325746427832087</v>
      </c>
      <c r="C3260" t="s">
        <v>33</v>
      </c>
      <c r="D3260" t="s">
        <v>27</v>
      </c>
      <c r="E3260" t="s">
        <v>15</v>
      </c>
      <c r="F3260" t="s">
        <v>28</v>
      </c>
      <c r="G3260" t="s">
        <v>279</v>
      </c>
      <c r="H3260" t="s">
        <v>275</v>
      </c>
    </row>
    <row r="3261" spans="1:8" x14ac:dyDescent="0.2">
      <c r="A3261" t="s">
        <v>272</v>
      </c>
      <c r="B3261">
        <v>1400</v>
      </c>
      <c r="C3261" t="s">
        <v>33</v>
      </c>
      <c r="D3261" t="s">
        <v>27</v>
      </c>
      <c r="E3261" t="s">
        <v>15</v>
      </c>
      <c r="F3261" t="s">
        <v>28</v>
      </c>
      <c r="G3261" t="s">
        <v>273</v>
      </c>
      <c r="H3261" t="s">
        <v>62</v>
      </c>
    </row>
    <row r="3262" spans="1:8" x14ac:dyDescent="0.2">
      <c r="A3262" t="s">
        <v>274</v>
      </c>
      <c r="B3262">
        <v>89.417406876949912</v>
      </c>
      <c r="C3262" t="s">
        <v>33</v>
      </c>
      <c r="D3262" t="s">
        <v>27</v>
      </c>
      <c r="E3262" t="s">
        <v>15</v>
      </c>
      <c r="F3262" t="s">
        <v>28</v>
      </c>
      <c r="G3262" t="s">
        <v>500</v>
      </c>
      <c r="H3262" t="s">
        <v>275</v>
      </c>
    </row>
    <row r="3263" spans="1:8" x14ac:dyDescent="0.2">
      <c r="A3263" t="s">
        <v>287</v>
      </c>
      <c r="B3263">
        <v>8.9413043478260867</v>
      </c>
      <c r="C3263" t="s">
        <v>33</v>
      </c>
      <c r="D3263" t="s">
        <v>27</v>
      </c>
      <c r="E3263" t="s">
        <v>15</v>
      </c>
      <c r="F3263" t="s">
        <v>28</v>
      </c>
      <c r="G3263" t="s">
        <v>288</v>
      </c>
      <c r="H3263" t="s">
        <v>34</v>
      </c>
    </row>
    <row r="3264" spans="1:8" x14ac:dyDescent="0.2">
      <c r="A3264" t="s">
        <v>289</v>
      </c>
      <c r="B3264">
        <v>3.973913043478261</v>
      </c>
      <c r="C3264" t="s">
        <v>33</v>
      </c>
      <c r="D3264" t="s">
        <v>27</v>
      </c>
      <c r="E3264" t="s">
        <v>15</v>
      </c>
      <c r="F3264" t="s">
        <v>28</v>
      </c>
      <c r="G3264" t="s">
        <v>290</v>
      </c>
      <c r="H3264" t="s">
        <v>34</v>
      </c>
    </row>
    <row r="3265" spans="1:8" x14ac:dyDescent="0.2">
      <c r="A3265" t="s">
        <v>280</v>
      </c>
      <c r="B3265">
        <v>-112.6724855582669</v>
      </c>
      <c r="C3265" t="s">
        <v>33</v>
      </c>
      <c r="D3265" t="s">
        <v>27</v>
      </c>
      <c r="E3265" t="s">
        <v>15</v>
      </c>
      <c r="F3265" t="s">
        <v>28</v>
      </c>
      <c r="G3265" t="s">
        <v>281</v>
      </c>
      <c r="H3265" t="s">
        <v>282</v>
      </c>
    </row>
    <row r="3266" spans="1:8" x14ac:dyDescent="0.2">
      <c r="A3266" t="s">
        <v>276</v>
      </c>
      <c r="B3266">
        <v>-1204</v>
      </c>
      <c r="C3266" t="s">
        <v>33</v>
      </c>
      <c r="D3266" t="s">
        <v>27</v>
      </c>
      <c r="E3266" t="s">
        <v>15</v>
      </c>
      <c r="F3266" t="s">
        <v>28</v>
      </c>
      <c r="G3266" t="s">
        <v>277</v>
      </c>
      <c r="H3266" t="s">
        <v>25</v>
      </c>
    </row>
    <row r="3267" spans="1:8" x14ac:dyDescent="0.2">
      <c r="A3267" t="s">
        <v>501</v>
      </c>
      <c r="B3267">
        <v>-89.417406876949912</v>
      </c>
      <c r="C3267" t="s">
        <v>33</v>
      </c>
      <c r="D3267" t="s">
        <v>27</v>
      </c>
      <c r="E3267" t="s">
        <v>15</v>
      </c>
      <c r="F3267" t="s">
        <v>28</v>
      </c>
      <c r="G3267" t="s">
        <v>502</v>
      </c>
      <c r="H3267" t="s">
        <v>25</v>
      </c>
    </row>
    <row r="3268" spans="1:8" x14ac:dyDescent="0.2">
      <c r="A3268" t="s">
        <v>56</v>
      </c>
      <c r="B3268">
        <v>1104</v>
      </c>
      <c r="C3268" t="s">
        <v>63</v>
      </c>
      <c r="D3268" t="s">
        <v>39</v>
      </c>
      <c r="E3268" t="s">
        <v>15</v>
      </c>
      <c r="F3268" t="s">
        <v>28</v>
      </c>
      <c r="G3268" t="s">
        <v>58</v>
      </c>
      <c r="H3268" t="s">
        <v>34</v>
      </c>
    </row>
    <row r="3269" spans="1:8" x14ac:dyDescent="0.2">
      <c r="A3269" t="s">
        <v>492</v>
      </c>
      <c r="B3269">
        <v>1</v>
      </c>
      <c r="C3269" t="s">
        <v>26</v>
      </c>
      <c r="D3269" t="s">
        <v>10</v>
      </c>
      <c r="E3269" t="s">
        <v>15</v>
      </c>
      <c r="F3269" t="s">
        <v>24</v>
      </c>
      <c r="G3269" t="s">
        <v>88</v>
      </c>
      <c r="H3269" t="s">
        <v>25</v>
      </c>
    </row>
    <row r="3272" spans="1:8" ht="16" x14ac:dyDescent="0.2">
      <c r="A3272" s="1" t="s">
        <v>4</v>
      </c>
      <c r="B3272" s="1" t="s">
        <v>381</v>
      </c>
    </row>
    <row r="3273" spans="1:8" x14ac:dyDescent="0.2">
      <c r="A3273" t="s">
        <v>5</v>
      </c>
      <c r="B3273" t="s">
        <v>26</v>
      </c>
    </row>
    <row r="3274" spans="1:8" x14ac:dyDescent="0.2">
      <c r="A3274" t="s">
        <v>6</v>
      </c>
      <c r="B3274">
        <v>1</v>
      </c>
    </row>
    <row r="3275" spans="1:8" x14ac:dyDescent="0.2">
      <c r="A3275" t="s">
        <v>7</v>
      </c>
      <c r="B3275" t="s">
        <v>71</v>
      </c>
    </row>
    <row r="3276" spans="1:8" x14ac:dyDescent="0.2">
      <c r="A3276" t="s">
        <v>8</v>
      </c>
      <c r="B3276" t="s">
        <v>9</v>
      </c>
    </row>
    <row r="3277" spans="1:8" x14ac:dyDescent="0.2">
      <c r="A3277" t="s">
        <v>10</v>
      </c>
      <c r="B3277" t="s">
        <v>10</v>
      </c>
    </row>
    <row r="3278" spans="1:8" x14ac:dyDescent="0.2">
      <c r="A3278" t="s">
        <v>11</v>
      </c>
      <c r="B3278" t="s">
        <v>12</v>
      </c>
    </row>
    <row r="3279" spans="1:8" x14ac:dyDescent="0.2">
      <c r="A3279" t="s">
        <v>13</v>
      </c>
      <c r="B3279" t="s">
        <v>291</v>
      </c>
    </row>
    <row r="3280" spans="1:8" x14ac:dyDescent="0.2">
      <c r="A3280" t="s">
        <v>14</v>
      </c>
      <c r="B3280" t="s">
        <v>271</v>
      </c>
    </row>
    <row r="3281" spans="1:8" x14ac:dyDescent="0.2">
      <c r="A3281" t="s">
        <v>16</v>
      </c>
      <c r="B3281" t="s">
        <v>15</v>
      </c>
    </row>
    <row r="3282" spans="1:8" x14ac:dyDescent="0.2">
      <c r="A3282" t="s">
        <v>17</v>
      </c>
      <c r="B3282" t="s">
        <v>191</v>
      </c>
    </row>
    <row r="3283" spans="1:8" ht="16" x14ac:dyDescent="0.2">
      <c r="A3283" s="1" t="s">
        <v>18</v>
      </c>
    </row>
    <row r="3284" spans="1:8" x14ac:dyDescent="0.2">
      <c r="A3284" t="s">
        <v>19</v>
      </c>
      <c r="B3284" t="s">
        <v>20</v>
      </c>
      <c r="C3284" t="s">
        <v>5</v>
      </c>
      <c r="D3284" t="s">
        <v>10</v>
      </c>
      <c r="E3284" t="s">
        <v>22</v>
      </c>
      <c r="F3284" t="s">
        <v>8</v>
      </c>
      <c r="G3284" t="s">
        <v>7</v>
      </c>
      <c r="H3284" t="s">
        <v>23</v>
      </c>
    </row>
    <row r="3285" spans="1:8" x14ac:dyDescent="0.2">
      <c r="A3285" t="s">
        <v>610</v>
      </c>
      <c r="B3285">
        <f>13.35</f>
        <v>13.35</v>
      </c>
      <c r="C3285" t="s">
        <v>33</v>
      </c>
      <c r="D3285" t="s">
        <v>39</v>
      </c>
      <c r="F3285" t="s">
        <v>28</v>
      </c>
      <c r="G3285" t="s">
        <v>611</v>
      </c>
      <c r="H3285" t="s">
        <v>34</v>
      </c>
    </row>
    <row r="3286" spans="1:8" x14ac:dyDescent="0.2">
      <c r="A3286" t="s">
        <v>61</v>
      </c>
      <c r="B3286">
        <v>123.9130434782609</v>
      </c>
      <c r="C3286" t="s">
        <v>33</v>
      </c>
      <c r="D3286" t="s">
        <v>27</v>
      </c>
      <c r="E3286" t="s">
        <v>15</v>
      </c>
      <c r="F3286" t="s">
        <v>28</v>
      </c>
      <c r="G3286" t="s">
        <v>61</v>
      </c>
      <c r="H3286" t="s">
        <v>62</v>
      </c>
    </row>
    <row r="3287" spans="1:8" x14ac:dyDescent="0.2">
      <c r="A3287" t="s">
        <v>278</v>
      </c>
      <c r="B3287">
        <v>33.46064093362429</v>
      </c>
      <c r="C3287" t="s">
        <v>33</v>
      </c>
      <c r="D3287" t="s">
        <v>27</v>
      </c>
      <c r="E3287" t="s">
        <v>15</v>
      </c>
      <c r="F3287" t="s">
        <v>28</v>
      </c>
      <c r="G3287" t="s">
        <v>279</v>
      </c>
      <c r="H3287" t="s">
        <v>275</v>
      </c>
    </row>
    <row r="3288" spans="1:8" x14ac:dyDescent="0.2">
      <c r="A3288" t="s">
        <v>272</v>
      </c>
      <c r="B3288">
        <v>1200</v>
      </c>
      <c r="C3288" t="s">
        <v>33</v>
      </c>
      <c r="D3288" t="s">
        <v>27</v>
      </c>
      <c r="E3288" t="s">
        <v>15</v>
      </c>
      <c r="F3288" t="s">
        <v>28</v>
      </c>
      <c r="G3288" t="s">
        <v>273</v>
      </c>
      <c r="H3288" t="s">
        <v>62</v>
      </c>
    </row>
    <row r="3289" spans="1:8" x14ac:dyDescent="0.2">
      <c r="A3289" t="s">
        <v>274</v>
      </c>
      <c r="B3289">
        <v>231.95820488635789</v>
      </c>
      <c r="C3289" t="s">
        <v>33</v>
      </c>
      <c r="D3289" t="s">
        <v>27</v>
      </c>
      <c r="E3289" t="s">
        <v>15</v>
      </c>
      <c r="F3289" t="s">
        <v>28</v>
      </c>
      <c r="G3289" t="s">
        <v>500</v>
      </c>
      <c r="H3289" t="s">
        <v>275</v>
      </c>
    </row>
    <row r="3290" spans="1:8" x14ac:dyDescent="0.2">
      <c r="A3290" t="s">
        <v>287</v>
      </c>
      <c r="B3290">
        <v>8.9706521739130434</v>
      </c>
      <c r="C3290" t="s">
        <v>33</v>
      </c>
      <c r="D3290" t="s">
        <v>27</v>
      </c>
      <c r="E3290" t="s">
        <v>15</v>
      </c>
      <c r="F3290" t="s">
        <v>28</v>
      </c>
      <c r="G3290" t="s">
        <v>288</v>
      </c>
      <c r="H3290" t="s">
        <v>34</v>
      </c>
    </row>
    <row r="3291" spans="1:8" x14ac:dyDescent="0.2">
      <c r="A3291" t="s">
        <v>289</v>
      </c>
      <c r="B3291">
        <v>3.9869565217391298</v>
      </c>
      <c r="C3291" t="s">
        <v>33</v>
      </c>
      <c r="D3291" t="s">
        <v>27</v>
      </c>
      <c r="E3291" t="s">
        <v>15</v>
      </c>
      <c r="F3291" t="s">
        <v>28</v>
      </c>
      <c r="G3291" t="s">
        <v>290</v>
      </c>
      <c r="H3291" t="s">
        <v>34</v>
      </c>
    </row>
    <row r="3292" spans="1:8" x14ac:dyDescent="0.2">
      <c r="A3292" t="s">
        <v>280</v>
      </c>
      <c r="B3292">
        <v>-46.41824962927646</v>
      </c>
      <c r="C3292" t="s">
        <v>33</v>
      </c>
      <c r="D3292" t="s">
        <v>27</v>
      </c>
      <c r="E3292" t="s">
        <v>15</v>
      </c>
      <c r="F3292" t="s">
        <v>28</v>
      </c>
      <c r="G3292" t="s">
        <v>281</v>
      </c>
      <c r="H3292" t="s">
        <v>282</v>
      </c>
    </row>
    <row r="3293" spans="1:8" x14ac:dyDescent="0.2">
      <c r="A3293" t="s">
        <v>60</v>
      </c>
      <c r="B3293">
        <v>41.958333333333343</v>
      </c>
      <c r="C3293" t="s">
        <v>26</v>
      </c>
      <c r="D3293" t="s">
        <v>27</v>
      </c>
      <c r="E3293" t="s">
        <v>15</v>
      </c>
      <c r="F3293" t="s">
        <v>28</v>
      </c>
      <c r="G3293" t="s">
        <v>54</v>
      </c>
      <c r="H3293" t="s">
        <v>34</v>
      </c>
    </row>
    <row r="3294" spans="1:8" x14ac:dyDescent="0.2">
      <c r="A3294" t="s">
        <v>276</v>
      </c>
      <c r="B3294">
        <v>-1118.045289855072</v>
      </c>
      <c r="C3294" t="s">
        <v>33</v>
      </c>
      <c r="D3294" t="s">
        <v>27</v>
      </c>
      <c r="E3294" t="s">
        <v>15</v>
      </c>
      <c r="F3294" t="s">
        <v>28</v>
      </c>
      <c r="G3294" t="s">
        <v>277</v>
      </c>
      <c r="H3294" t="s">
        <v>25</v>
      </c>
    </row>
    <row r="3295" spans="1:8" x14ac:dyDescent="0.2">
      <c r="A3295" t="s">
        <v>501</v>
      </c>
      <c r="B3295">
        <v>-231.95820488635789</v>
      </c>
      <c r="C3295" t="s">
        <v>33</v>
      </c>
      <c r="D3295" t="s">
        <v>27</v>
      </c>
      <c r="E3295" t="s">
        <v>15</v>
      </c>
      <c r="F3295" t="s">
        <v>28</v>
      </c>
      <c r="G3295" t="s">
        <v>502</v>
      </c>
      <c r="H3295" t="s">
        <v>25</v>
      </c>
    </row>
    <row r="3296" spans="1:8" x14ac:dyDescent="0.2">
      <c r="A3296" t="s">
        <v>56</v>
      </c>
      <c r="B3296">
        <v>80.108145214322235</v>
      </c>
      <c r="C3296" t="s">
        <v>63</v>
      </c>
      <c r="D3296" t="s">
        <v>39</v>
      </c>
      <c r="E3296" t="s">
        <v>15</v>
      </c>
      <c r="F3296" t="s">
        <v>28</v>
      </c>
      <c r="G3296" t="s">
        <v>58</v>
      </c>
      <c r="H3296" t="s">
        <v>34</v>
      </c>
    </row>
    <row r="3297" spans="1:8" x14ac:dyDescent="0.2">
      <c r="A3297" t="s">
        <v>381</v>
      </c>
      <c r="B3297">
        <v>1</v>
      </c>
      <c r="C3297" t="s">
        <v>26</v>
      </c>
      <c r="D3297" t="s">
        <v>10</v>
      </c>
      <c r="E3297" t="s">
        <v>15</v>
      </c>
      <c r="F3297" t="s">
        <v>24</v>
      </c>
      <c r="G3297" t="s">
        <v>71</v>
      </c>
      <c r="H3297" t="s">
        <v>25</v>
      </c>
    </row>
    <row r="3299" spans="1:8" ht="16" x14ac:dyDescent="0.2">
      <c r="A3299" s="1" t="s">
        <v>4</v>
      </c>
      <c r="B3299" s="1" t="s">
        <v>325</v>
      </c>
    </row>
    <row r="3300" spans="1:8" x14ac:dyDescent="0.2">
      <c r="A3300" t="s">
        <v>5</v>
      </c>
      <c r="B3300" t="s">
        <v>26</v>
      </c>
    </row>
    <row r="3301" spans="1:8" x14ac:dyDescent="0.2">
      <c r="A3301" t="s">
        <v>6</v>
      </c>
      <c r="B3301">
        <v>1</v>
      </c>
    </row>
    <row r="3302" spans="1:8" x14ac:dyDescent="0.2">
      <c r="A3302" t="s">
        <v>7</v>
      </c>
      <c r="B3302" t="s">
        <v>73</v>
      </c>
    </row>
    <row r="3303" spans="1:8" x14ac:dyDescent="0.2">
      <c r="A3303" t="s">
        <v>8</v>
      </c>
      <c r="B3303" t="s">
        <v>9</v>
      </c>
    </row>
    <row r="3304" spans="1:8" x14ac:dyDescent="0.2">
      <c r="A3304" t="s">
        <v>10</v>
      </c>
      <c r="B3304" t="s">
        <v>10</v>
      </c>
    </row>
    <row r="3305" spans="1:8" x14ac:dyDescent="0.2">
      <c r="A3305" t="s">
        <v>11</v>
      </c>
      <c r="B3305" t="s">
        <v>12</v>
      </c>
    </row>
    <row r="3306" spans="1:8" x14ac:dyDescent="0.2">
      <c r="A3306" t="s">
        <v>13</v>
      </c>
      <c r="B3306" t="s">
        <v>291</v>
      </c>
    </row>
    <row r="3307" spans="1:8" x14ac:dyDescent="0.2">
      <c r="A3307" t="s">
        <v>14</v>
      </c>
      <c r="B3307" t="s">
        <v>271</v>
      </c>
    </row>
    <row r="3308" spans="1:8" x14ac:dyDescent="0.2">
      <c r="A3308" t="s">
        <v>16</v>
      </c>
      <c r="B3308" t="s">
        <v>15</v>
      </c>
    </row>
    <row r="3309" spans="1:8" x14ac:dyDescent="0.2">
      <c r="A3309" t="s">
        <v>17</v>
      </c>
      <c r="B3309" t="s">
        <v>192</v>
      </c>
    </row>
    <row r="3310" spans="1:8" ht="16" x14ac:dyDescent="0.2">
      <c r="A3310" s="1" t="s">
        <v>18</v>
      </c>
    </row>
    <row r="3311" spans="1:8" x14ac:dyDescent="0.2">
      <c r="A3311" t="s">
        <v>19</v>
      </c>
      <c r="B3311" t="s">
        <v>20</v>
      </c>
      <c r="C3311" t="s">
        <v>5</v>
      </c>
      <c r="D3311" t="s">
        <v>10</v>
      </c>
      <c r="E3311" t="s">
        <v>22</v>
      </c>
      <c r="F3311" t="s">
        <v>8</v>
      </c>
      <c r="G3311" t="s">
        <v>7</v>
      </c>
      <c r="H3311" t="s">
        <v>23</v>
      </c>
    </row>
    <row r="3312" spans="1:8" x14ac:dyDescent="0.2">
      <c r="A3312" t="s">
        <v>610</v>
      </c>
      <c r="B3312">
        <f>12.8</f>
        <v>12.8</v>
      </c>
      <c r="C3312" t="s">
        <v>33</v>
      </c>
      <c r="D3312" t="s">
        <v>39</v>
      </c>
      <c r="F3312" t="s">
        <v>28</v>
      </c>
      <c r="G3312" t="s">
        <v>611</v>
      </c>
      <c r="H3312" t="s">
        <v>34</v>
      </c>
    </row>
    <row r="3313" spans="1:8" x14ac:dyDescent="0.2">
      <c r="A3313" t="s">
        <v>61</v>
      </c>
      <c r="B3313">
        <v>127.82608695652181</v>
      </c>
      <c r="C3313" t="s">
        <v>33</v>
      </c>
      <c r="D3313" t="s">
        <v>27</v>
      </c>
      <c r="E3313" t="s">
        <v>15</v>
      </c>
      <c r="F3313" t="s">
        <v>28</v>
      </c>
      <c r="G3313" t="s">
        <v>61</v>
      </c>
      <c r="H3313" t="s">
        <v>62</v>
      </c>
    </row>
    <row r="3314" spans="1:8" x14ac:dyDescent="0.2">
      <c r="A3314" t="s">
        <v>278</v>
      </c>
      <c r="B3314">
        <v>33.014772781734273</v>
      </c>
      <c r="C3314" t="s">
        <v>33</v>
      </c>
      <c r="D3314" t="s">
        <v>27</v>
      </c>
      <c r="E3314" t="s">
        <v>15</v>
      </c>
      <c r="F3314" t="s">
        <v>28</v>
      </c>
      <c r="G3314" t="s">
        <v>279</v>
      </c>
      <c r="H3314" t="s">
        <v>275</v>
      </c>
    </row>
    <row r="3315" spans="1:8" x14ac:dyDescent="0.2">
      <c r="A3315" t="s">
        <v>272</v>
      </c>
      <c r="B3315">
        <v>1200</v>
      </c>
      <c r="C3315" t="s">
        <v>33</v>
      </c>
      <c r="D3315" t="s">
        <v>27</v>
      </c>
      <c r="E3315" t="s">
        <v>15</v>
      </c>
      <c r="F3315" t="s">
        <v>28</v>
      </c>
      <c r="G3315" t="s">
        <v>273</v>
      </c>
      <c r="H3315" t="s">
        <v>62</v>
      </c>
    </row>
    <row r="3316" spans="1:8" x14ac:dyDescent="0.2">
      <c r="A3316" t="s">
        <v>274</v>
      </c>
      <c r="B3316">
        <v>229.33136818121761</v>
      </c>
      <c r="C3316" t="s">
        <v>33</v>
      </c>
      <c r="D3316" t="s">
        <v>27</v>
      </c>
      <c r="E3316" t="s">
        <v>15</v>
      </c>
      <c r="F3316" t="s">
        <v>28</v>
      </c>
      <c r="G3316" t="s">
        <v>500</v>
      </c>
      <c r="H3316" t="s">
        <v>275</v>
      </c>
    </row>
    <row r="3317" spans="1:8" x14ac:dyDescent="0.2">
      <c r="A3317" t="s">
        <v>287</v>
      </c>
      <c r="B3317">
        <v>8.9413043478260867</v>
      </c>
      <c r="C3317" t="s">
        <v>33</v>
      </c>
      <c r="D3317" t="s">
        <v>27</v>
      </c>
      <c r="E3317" t="s">
        <v>15</v>
      </c>
      <c r="F3317" t="s">
        <v>28</v>
      </c>
      <c r="G3317" t="s">
        <v>288</v>
      </c>
      <c r="H3317" t="s">
        <v>34</v>
      </c>
    </row>
    <row r="3318" spans="1:8" x14ac:dyDescent="0.2">
      <c r="A3318" t="s">
        <v>289</v>
      </c>
      <c r="B3318">
        <v>3.973913043478261</v>
      </c>
      <c r="C3318" t="s">
        <v>33</v>
      </c>
      <c r="D3318" t="s">
        <v>27</v>
      </c>
      <c r="E3318" t="s">
        <v>15</v>
      </c>
      <c r="F3318" t="s">
        <v>28</v>
      </c>
      <c r="G3318" t="s">
        <v>290</v>
      </c>
      <c r="H3318" t="s">
        <v>34</v>
      </c>
    </row>
    <row r="3319" spans="1:8" x14ac:dyDescent="0.2">
      <c r="A3319" t="s">
        <v>280</v>
      </c>
      <c r="B3319">
        <v>-45.929990173038611</v>
      </c>
      <c r="C3319" t="s">
        <v>33</v>
      </c>
      <c r="D3319" t="s">
        <v>27</v>
      </c>
      <c r="E3319" t="s">
        <v>15</v>
      </c>
      <c r="F3319" t="s">
        <v>28</v>
      </c>
      <c r="G3319" t="s">
        <v>281</v>
      </c>
      <c r="H3319" t="s">
        <v>282</v>
      </c>
    </row>
    <row r="3320" spans="1:8" x14ac:dyDescent="0.2">
      <c r="A3320" t="s">
        <v>60</v>
      </c>
      <c r="B3320">
        <v>39.75</v>
      </c>
      <c r="C3320" t="s">
        <v>26</v>
      </c>
      <c r="D3320" t="s">
        <v>27</v>
      </c>
      <c r="E3320" t="s">
        <v>15</v>
      </c>
      <c r="F3320" t="s">
        <v>28</v>
      </c>
      <c r="G3320" t="s">
        <v>54</v>
      </c>
      <c r="H3320" t="s">
        <v>34</v>
      </c>
    </row>
    <row r="3321" spans="1:8" x14ac:dyDescent="0.2">
      <c r="A3321" t="s">
        <v>276</v>
      </c>
      <c r="B3321">
        <v>-1111.923913043478</v>
      </c>
      <c r="C3321" t="s">
        <v>33</v>
      </c>
      <c r="D3321" t="s">
        <v>27</v>
      </c>
      <c r="E3321" t="s">
        <v>15</v>
      </c>
      <c r="F3321" t="s">
        <v>28</v>
      </c>
      <c r="G3321" t="s">
        <v>277</v>
      </c>
      <c r="H3321" t="s">
        <v>25</v>
      </c>
    </row>
    <row r="3322" spans="1:8" x14ac:dyDescent="0.2">
      <c r="A3322" t="s">
        <v>501</v>
      </c>
      <c r="B3322">
        <v>-229.33136818121761</v>
      </c>
      <c r="C3322" t="s">
        <v>33</v>
      </c>
      <c r="D3322" t="s">
        <v>27</v>
      </c>
      <c r="E3322" t="s">
        <v>15</v>
      </c>
      <c r="F3322" t="s">
        <v>28</v>
      </c>
      <c r="G3322" t="s">
        <v>502</v>
      </c>
      <c r="H3322" t="s">
        <v>25</v>
      </c>
    </row>
    <row r="3323" spans="1:8" x14ac:dyDescent="0.2">
      <c r="A3323" t="s">
        <v>56</v>
      </c>
      <c r="B3323">
        <v>51.320779425287903</v>
      </c>
      <c r="C3323" t="s">
        <v>63</v>
      </c>
      <c r="D3323" t="s">
        <v>39</v>
      </c>
      <c r="E3323" t="s">
        <v>15</v>
      </c>
      <c r="F3323" t="s">
        <v>28</v>
      </c>
      <c r="G3323" t="s">
        <v>58</v>
      </c>
      <c r="H3323" t="s">
        <v>34</v>
      </c>
    </row>
    <row r="3324" spans="1:8" x14ac:dyDescent="0.2">
      <c r="A3324" t="s">
        <v>325</v>
      </c>
      <c r="B3324">
        <v>1</v>
      </c>
      <c r="C3324" t="s">
        <v>26</v>
      </c>
      <c r="D3324" t="s">
        <v>10</v>
      </c>
      <c r="E3324" t="s">
        <v>15</v>
      </c>
      <c r="F3324" t="s">
        <v>24</v>
      </c>
      <c r="G3324" t="s">
        <v>73</v>
      </c>
      <c r="H3324" t="s">
        <v>25</v>
      </c>
    </row>
    <row r="3327" spans="1:8" ht="16" x14ac:dyDescent="0.2">
      <c r="A3327" s="1" t="s">
        <v>4</v>
      </c>
      <c r="B3327" s="1" t="s">
        <v>382</v>
      </c>
    </row>
    <row r="3328" spans="1:8" x14ac:dyDescent="0.2">
      <c r="A3328" t="s">
        <v>5</v>
      </c>
      <c r="B3328" t="s">
        <v>26</v>
      </c>
    </row>
    <row r="3329" spans="1:8" x14ac:dyDescent="0.2">
      <c r="A3329" t="s">
        <v>6</v>
      </c>
      <c r="B3329">
        <v>1</v>
      </c>
    </row>
    <row r="3330" spans="1:8" x14ac:dyDescent="0.2">
      <c r="A3330" t="s">
        <v>7</v>
      </c>
      <c r="B3330" t="s">
        <v>71</v>
      </c>
    </row>
    <row r="3331" spans="1:8" x14ac:dyDescent="0.2">
      <c r="A3331" t="s">
        <v>8</v>
      </c>
      <c r="B3331" t="s">
        <v>9</v>
      </c>
    </row>
    <row r="3332" spans="1:8" x14ac:dyDescent="0.2">
      <c r="A3332" t="s">
        <v>10</v>
      </c>
      <c r="B3332" t="s">
        <v>10</v>
      </c>
    </row>
    <row r="3333" spans="1:8" x14ac:dyDescent="0.2">
      <c r="A3333" t="s">
        <v>11</v>
      </c>
      <c r="B3333" t="s">
        <v>12</v>
      </c>
    </row>
    <row r="3334" spans="1:8" x14ac:dyDescent="0.2">
      <c r="A3334" t="s">
        <v>13</v>
      </c>
      <c r="B3334" t="s">
        <v>291</v>
      </c>
    </row>
    <row r="3335" spans="1:8" x14ac:dyDescent="0.2">
      <c r="A3335" t="s">
        <v>14</v>
      </c>
      <c r="B3335" t="s">
        <v>271</v>
      </c>
    </row>
    <row r="3336" spans="1:8" x14ac:dyDescent="0.2">
      <c r="A3336" t="s">
        <v>16</v>
      </c>
      <c r="B3336" t="s">
        <v>15</v>
      </c>
    </row>
    <row r="3337" spans="1:8" x14ac:dyDescent="0.2">
      <c r="A3337" t="s">
        <v>17</v>
      </c>
      <c r="B3337" t="s">
        <v>193</v>
      </c>
    </row>
    <row r="3338" spans="1:8" ht="16" x14ac:dyDescent="0.2">
      <c r="A3338" s="1" t="s">
        <v>18</v>
      </c>
    </row>
    <row r="3339" spans="1:8" x14ac:dyDescent="0.2">
      <c r="A3339" t="s">
        <v>19</v>
      </c>
      <c r="B3339" t="s">
        <v>20</v>
      </c>
      <c r="C3339" t="s">
        <v>5</v>
      </c>
      <c r="D3339" t="s">
        <v>10</v>
      </c>
      <c r="E3339" t="s">
        <v>22</v>
      </c>
      <c r="F3339" t="s">
        <v>8</v>
      </c>
      <c r="G3339" t="s">
        <v>7</v>
      </c>
      <c r="H3339" t="s">
        <v>23</v>
      </c>
    </row>
    <row r="3340" spans="1:8" x14ac:dyDescent="0.2">
      <c r="A3340" t="s">
        <v>610</v>
      </c>
      <c r="B3340">
        <f>13.35</f>
        <v>13.35</v>
      </c>
      <c r="C3340" t="s">
        <v>33</v>
      </c>
      <c r="D3340" t="s">
        <v>39</v>
      </c>
      <c r="F3340" t="s">
        <v>28</v>
      </c>
      <c r="G3340" t="s">
        <v>611</v>
      </c>
      <c r="H3340" t="s">
        <v>34</v>
      </c>
    </row>
    <row r="3341" spans="1:8" x14ac:dyDescent="0.2">
      <c r="A3341" t="s">
        <v>61</v>
      </c>
      <c r="B3341">
        <v>123.9130434782609</v>
      </c>
      <c r="C3341" t="s">
        <v>33</v>
      </c>
      <c r="D3341" t="s">
        <v>27</v>
      </c>
      <c r="E3341" t="s">
        <v>15</v>
      </c>
      <c r="F3341" t="s">
        <v>28</v>
      </c>
      <c r="G3341" t="s">
        <v>61</v>
      </c>
      <c r="H3341" t="s">
        <v>62</v>
      </c>
    </row>
    <row r="3342" spans="1:8" x14ac:dyDescent="0.2">
      <c r="A3342" t="s">
        <v>278</v>
      </c>
      <c r="B3342">
        <v>33.464799357946603</v>
      </c>
      <c r="C3342" t="s">
        <v>33</v>
      </c>
      <c r="D3342" t="s">
        <v>27</v>
      </c>
      <c r="E3342" t="s">
        <v>15</v>
      </c>
      <c r="F3342" t="s">
        <v>28</v>
      </c>
      <c r="G3342" t="s">
        <v>279</v>
      </c>
      <c r="H3342" t="s">
        <v>275</v>
      </c>
    </row>
    <row r="3343" spans="1:8" x14ac:dyDescent="0.2">
      <c r="A3343" t="s">
        <v>272</v>
      </c>
      <c r="B3343">
        <v>1200</v>
      </c>
      <c r="C3343" t="s">
        <v>33</v>
      </c>
      <c r="D3343" t="s">
        <v>27</v>
      </c>
      <c r="E3343" t="s">
        <v>15</v>
      </c>
      <c r="F3343" t="s">
        <v>28</v>
      </c>
      <c r="G3343" t="s">
        <v>273</v>
      </c>
      <c r="H3343" t="s">
        <v>62</v>
      </c>
    </row>
    <row r="3344" spans="1:8" x14ac:dyDescent="0.2">
      <c r="A3344" t="s">
        <v>274</v>
      </c>
      <c r="B3344">
        <v>231.99377749441939</v>
      </c>
      <c r="C3344" t="s">
        <v>33</v>
      </c>
      <c r="D3344" t="s">
        <v>27</v>
      </c>
      <c r="E3344" t="s">
        <v>15</v>
      </c>
      <c r="F3344" t="s">
        <v>28</v>
      </c>
      <c r="G3344" t="s">
        <v>500</v>
      </c>
      <c r="H3344" t="s">
        <v>275</v>
      </c>
    </row>
    <row r="3345" spans="1:8" x14ac:dyDescent="0.2">
      <c r="A3345" t="s">
        <v>287</v>
      </c>
      <c r="B3345">
        <v>8.9706521739130434</v>
      </c>
      <c r="C3345" t="s">
        <v>33</v>
      </c>
      <c r="D3345" t="s">
        <v>27</v>
      </c>
      <c r="E3345" t="s">
        <v>15</v>
      </c>
      <c r="F3345" t="s">
        <v>28</v>
      </c>
      <c r="G3345" t="s">
        <v>288</v>
      </c>
      <c r="H3345" t="s">
        <v>34</v>
      </c>
    </row>
    <row r="3346" spans="1:8" x14ac:dyDescent="0.2">
      <c r="A3346" t="s">
        <v>289</v>
      </c>
      <c r="B3346">
        <v>3.9869565217391298</v>
      </c>
      <c r="C3346" t="s">
        <v>33</v>
      </c>
      <c r="D3346" t="s">
        <v>27</v>
      </c>
      <c r="E3346" t="s">
        <v>15</v>
      </c>
      <c r="F3346" t="s">
        <v>28</v>
      </c>
      <c r="G3346" t="s">
        <v>290</v>
      </c>
      <c r="H3346" t="s">
        <v>34</v>
      </c>
    </row>
    <row r="3347" spans="1:8" x14ac:dyDescent="0.2">
      <c r="A3347" t="s">
        <v>280</v>
      </c>
      <c r="B3347">
        <v>-46.422408053598772</v>
      </c>
      <c r="C3347" t="s">
        <v>33</v>
      </c>
      <c r="D3347" t="s">
        <v>27</v>
      </c>
      <c r="E3347" t="s">
        <v>15</v>
      </c>
      <c r="F3347" t="s">
        <v>28</v>
      </c>
      <c r="G3347" t="s">
        <v>281</v>
      </c>
      <c r="H3347" t="s">
        <v>282</v>
      </c>
    </row>
    <row r="3348" spans="1:8" x14ac:dyDescent="0.2">
      <c r="A3348" t="s">
        <v>60</v>
      </c>
      <c r="B3348">
        <v>42.354166666666657</v>
      </c>
      <c r="C3348" t="s">
        <v>26</v>
      </c>
      <c r="D3348" t="s">
        <v>27</v>
      </c>
      <c r="E3348" t="s">
        <v>15</v>
      </c>
      <c r="F3348" t="s">
        <v>28</v>
      </c>
      <c r="G3348" t="s">
        <v>54</v>
      </c>
      <c r="H3348" t="s">
        <v>34</v>
      </c>
    </row>
    <row r="3349" spans="1:8" x14ac:dyDescent="0.2">
      <c r="A3349" t="s">
        <v>276</v>
      </c>
      <c r="B3349">
        <v>-1118.441123188406</v>
      </c>
      <c r="C3349" t="s">
        <v>33</v>
      </c>
      <c r="D3349" t="s">
        <v>27</v>
      </c>
      <c r="E3349" t="s">
        <v>15</v>
      </c>
      <c r="F3349" t="s">
        <v>28</v>
      </c>
      <c r="G3349" t="s">
        <v>277</v>
      </c>
      <c r="H3349" t="s">
        <v>25</v>
      </c>
    </row>
    <row r="3350" spans="1:8" x14ac:dyDescent="0.2">
      <c r="A3350" t="s">
        <v>501</v>
      </c>
      <c r="B3350">
        <v>-231.99377749441939</v>
      </c>
      <c r="C3350" t="s">
        <v>33</v>
      </c>
      <c r="D3350" t="s">
        <v>27</v>
      </c>
      <c r="E3350" t="s">
        <v>15</v>
      </c>
      <c r="F3350" t="s">
        <v>28</v>
      </c>
      <c r="G3350" t="s">
        <v>502</v>
      </c>
      <c r="H3350" t="s">
        <v>25</v>
      </c>
    </row>
    <row r="3351" spans="1:8" x14ac:dyDescent="0.2">
      <c r="A3351" t="s">
        <v>56</v>
      </c>
      <c r="B3351">
        <v>80.132307848279197</v>
      </c>
      <c r="C3351" t="s">
        <v>63</v>
      </c>
      <c r="D3351" t="s">
        <v>39</v>
      </c>
      <c r="E3351" t="s">
        <v>15</v>
      </c>
      <c r="F3351" t="s">
        <v>28</v>
      </c>
      <c r="G3351" t="s">
        <v>58</v>
      </c>
      <c r="H3351" t="s">
        <v>34</v>
      </c>
    </row>
    <row r="3352" spans="1:8" x14ac:dyDescent="0.2">
      <c r="A3352" t="s">
        <v>382</v>
      </c>
      <c r="B3352">
        <v>1</v>
      </c>
      <c r="C3352" t="s">
        <v>26</v>
      </c>
      <c r="D3352" t="s">
        <v>10</v>
      </c>
      <c r="E3352" t="s">
        <v>15</v>
      </c>
      <c r="F3352" t="s">
        <v>24</v>
      </c>
      <c r="G3352" t="s">
        <v>71</v>
      </c>
      <c r="H3352" t="s">
        <v>25</v>
      </c>
    </row>
    <row r="3354" spans="1:8" ht="16" x14ac:dyDescent="0.2">
      <c r="A3354" s="1" t="s">
        <v>4</v>
      </c>
      <c r="B3354" s="1" t="s">
        <v>326</v>
      </c>
    </row>
    <row r="3355" spans="1:8" x14ac:dyDescent="0.2">
      <c r="A3355" t="s">
        <v>5</v>
      </c>
      <c r="B3355" t="s">
        <v>26</v>
      </c>
    </row>
    <row r="3356" spans="1:8" x14ac:dyDescent="0.2">
      <c r="A3356" t="s">
        <v>6</v>
      </c>
      <c r="B3356">
        <v>1</v>
      </c>
    </row>
    <row r="3357" spans="1:8" x14ac:dyDescent="0.2">
      <c r="A3357" t="s">
        <v>7</v>
      </c>
      <c r="B3357" t="s">
        <v>73</v>
      </c>
    </row>
    <row r="3358" spans="1:8" x14ac:dyDescent="0.2">
      <c r="A3358" t="s">
        <v>8</v>
      </c>
      <c r="B3358" t="s">
        <v>9</v>
      </c>
    </row>
    <row r="3359" spans="1:8" x14ac:dyDescent="0.2">
      <c r="A3359" t="s">
        <v>10</v>
      </c>
      <c r="B3359" t="s">
        <v>10</v>
      </c>
    </row>
    <row r="3360" spans="1:8" x14ac:dyDescent="0.2">
      <c r="A3360" t="s">
        <v>11</v>
      </c>
      <c r="B3360" t="s">
        <v>12</v>
      </c>
    </row>
    <row r="3361" spans="1:8" x14ac:dyDescent="0.2">
      <c r="A3361" t="s">
        <v>13</v>
      </c>
      <c r="B3361" t="s">
        <v>291</v>
      </c>
    </row>
    <row r="3362" spans="1:8" x14ac:dyDescent="0.2">
      <c r="A3362" t="s">
        <v>14</v>
      </c>
      <c r="B3362" t="s">
        <v>271</v>
      </c>
    </row>
    <row r="3363" spans="1:8" x14ac:dyDescent="0.2">
      <c r="A3363" t="s">
        <v>16</v>
      </c>
      <c r="B3363" t="s">
        <v>15</v>
      </c>
    </row>
    <row r="3364" spans="1:8" x14ac:dyDescent="0.2">
      <c r="A3364" t="s">
        <v>17</v>
      </c>
      <c r="B3364" t="s">
        <v>194</v>
      </c>
    </row>
    <row r="3365" spans="1:8" ht="16" x14ac:dyDescent="0.2">
      <c r="A3365" s="1" t="s">
        <v>18</v>
      </c>
    </row>
    <row r="3366" spans="1:8" x14ac:dyDescent="0.2">
      <c r="A3366" t="s">
        <v>19</v>
      </c>
      <c r="B3366" t="s">
        <v>20</v>
      </c>
      <c r="C3366" t="s">
        <v>5</v>
      </c>
      <c r="D3366" t="s">
        <v>10</v>
      </c>
      <c r="E3366" t="s">
        <v>22</v>
      </c>
      <c r="F3366" t="s">
        <v>8</v>
      </c>
      <c r="G3366" t="s">
        <v>7</v>
      </c>
      <c r="H3366" t="s">
        <v>23</v>
      </c>
    </row>
    <row r="3367" spans="1:8" x14ac:dyDescent="0.2">
      <c r="A3367" t="s">
        <v>610</v>
      </c>
      <c r="B3367">
        <f>12.8</f>
        <v>12.8</v>
      </c>
      <c r="C3367" t="s">
        <v>33</v>
      </c>
      <c r="D3367" t="s">
        <v>39</v>
      </c>
      <c r="F3367" t="s">
        <v>28</v>
      </c>
      <c r="G3367" t="s">
        <v>611</v>
      </c>
      <c r="H3367" t="s">
        <v>34</v>
      </c>
    </row>
    <row r="3368" spans="1:8" x14ac:dyDescent="0.2">
      <c r="A3368" t="s">
        <v>61</v>
      </c>
      <c r="B3368">
        <v>127.82608695652181</v>
      </c>
      <c r="C3368" t="s">
        <v>33</v>
      </c>
      <c r="D3368" t="s">
        <v>27</v>
      </c>
      <c r="E3368" t="s">
        <v>15</v>
      </c>
      <c r="F3368" t="s">
        <v>28</v>
      </c>
      <c r="G3368" t="s">
        <v>61</v>
      </c>
      <c r="H3368" t="s">
        <v>62</v>
      </c>
    </row>
    <row r="3369" spans="1:8" x14ac:dyDescent="0.2">
      <c r="A3369" t="s">
        <v>278</v>
      </c>
      <c r="B3369">
        <v>33.018708021630793</v>
      </c>
      <c r="C3369" t="s">
        <v>33</v>
      </c>
      <c r="D3369" t="s">
        <v>27</v>
      </c>
      <c r="E3369" t="s">
        <v>15</v>
      </c>
      <c r="F3369" t="s">
        <v>28</v>
      </c>
      <c r="G3369" t="s">
        <v>279</v>
      </c>
      <c r="H3369" t="s">
        <v>275</v>
      </c>
    </row>
    <row r="3370" spans="1:8" x14ac:dyDescent="0.2">
      <c r="A3370" t="s">
        <v>272</v>
      </c>
      <c r="B3370">
        <v>1200</v>
      </c>
      <c r="C3370" t="s">
        <v>33</v>
      </c>
      <c r="D3370" t="s">
        <v>27</v>
      </c>
      <c r="E3370" t="s">
        <v>15</v>
      </c>
      <c r="F3370" t="s">
        <v>28</v>
      </c>
      <c r="G3370" t="s">
        <v>273</v>
      </c>
      <c r="H3370" t="s">
        <v>62</v>
      </c>
    </row>
    <row r="3371" spans="1:8" x14ac:dyDescent="0.2">
      <c r="A3371" t="s">
        <v>274</v>
      </c>
      <c r="B3371">
        <v>229.3648519398154</v>
      </c>
      <c r="C3371" t="s">
        <v>33</v>
      </c>
      <c r="D3371" t="s">
        <v>27</v>
      </c>
      <c r="E3371" t="s">
        <v>15</v>
      </c>
      <c r="F3371" t="s">
        <v>28</v>
      </c>
      <c r="G3371" t="s">
        <v>500</v>
      </c>
      <c r="H3371" t="s">
        <v>275</v>
      </c>
    </row>
    <row r="3372" spans="1:8" x14ac:dyDescent="0.2">
      <c r="A3372" t="s">
        <v>287</v>
      </c>
      <c r="B3372">
        <v>8.9413043478260867</v>
      </c>
      <c r="C3372" t="s">
        <v>33</v>
      </c>
      <c r="D3372" t="s">
        <v>27</v>
      </c>
      <c r="E3372" t="s">
        <v>15</v>
      </c>
      <c r="F3372" t="s">
        <v>28</v>
      </c>
      <c r="G3372" t="s">
        <v>288</v>
      </c>
      <c r="H3372" t="s">
        <v>34</v>
      </c>
    </row>
    <row r="3373" spans="1:8" x14ac:dyDescent="0.2">
      <c r="A3373" t="s">
        <v>289</v>
      </c>
      <c r="B3373">
        <v>3.973913043478261</v>
      </c>
      <c r="C3373" t="s">
        <v>33</v>
      </c>
      <c r="D3373" t="s">
        <v>27</v>
      </c>
      <c r="E3373" t="s">
        <v>15</v>
      </c>
      <c r="F3373" t="s">
        <v>28</v>
      </c>
      <c r="G3373" t="s">
        <v>290</v>
      </c>
      <c r="H3373" t="s">
        <v>34</v>
      </c>
    </row>
    <row r="3374" spans="1:8" x14ac:dyDescent="0.2">
      <c r="A3374" t="s">
        <v>280</v>
      </c>
      <c r="B3374">
        <v>-45.933925412935132</v>
      </c>
      <c r="C3374" t="s">
        <v>33</v>
      </c>
      <c r="D3374" t="s">
        <v>27</v>
      </c>
      <c r="E3374" t="s">
        <v>15</v>
      </c>
      <c r="F3374" t="s">
        <v>28</v>
      </c>
      <c r="G3374" t="s">
        <v>281</v>
      </c>
      <c r="H3374" t="s">
        <v>282</v>
      </c>
    </row>
    <row r="3375" spans="1:8" x14ac:dyDescent="0.2">
      <c r="A3375" t="s">
        <v>60</v>
      </c>
      <c r="B3375">
        <v>40.124999999999993</v>
      </c>
      <c r="C3375" t="s">
        <v>26</v>
      </c>
      <c r="D3375" t="s">
        <v>27</v>
      </c>
      <c r="E3375" t="s">
        <v>15</v>
      </c>
      <c r="F3375" t="s">
        <v>28</v>
      </c>
      <c r="G3375" t="s">
        <v>54</v>
      </c>
      <c r="H3375" t="s">
        <v>34</v>
      </c>
    </row>
    <row r="3376" spans="1:8" x14ac:dyDescent="0.2">
      <c r="A3376" t="s">
        <v>276</v>
      </c>
      <c r="B3376">
        <v>-1112.298913043478</v>
      </c>
      <c r="C3376" t="s">
        <v>33</v>
      </c>
      <c r="D3376" t="s">
        <v>27</v>
      </c>
      <c r="E3376" t="s">
        <v>15</v>
      </c>
      <c r="F3376" t="s">
        <v>28</v>
      </c>
      <c r="G3376" t="s">
        <v>277</v>
      </c>
      <c r="H3376" t="s">
        <v>25</v>
      </c>
    </row>
    <row r="3377" spans="1:8" x14ac:dyDescent="0.2">
      <c r="A3377" t="s">
        <v>501</v>
      </c>
      <c r="B3377">
        <v>-229.3648519398154</v>
      </c>
      <c r="C3377" t="s">
        <v>33</v>
      </c>
      <c r="D3377" t="s">
        <v>27</v>
      </c>
      <c r="E3377" t="s">
        <v>15</v>
      </c>
      <c r="F3377" t="s">
        <v>28</v>
      </c>
      <c r="G3377" t="s">
        <v>502</v>
      </c>
      <c r="H3377" t="s">
        <v>25</v>
      </c>
    </row>
    <row r="3378" spans="1:8" x14ac:dyDescent="0.2">
      <c r="A3378" t="s">
        <v>56</v>
      </c>
      <c r="B3378">
        <v>51.335556652654397</v>
      </c>
      <c r="C3378" t="s">
        <v>63</v>
      </c>
      <c r="D3378" t="s">
        <v>39</v>
      </c>
      <c r="E3378" t="s">
        <v>15</v>
      </c>
      <c r="F3378" t="s">
        <v>28</v>
      </c>
      <c r="G3378" t="s">
        <v>58</v>
      </c>
      <c r="H3378" t="s">
        <v>34</v>
      </c>
    </row>
    <row r="3379" spans="1:8" x14ac:dyDescent="0.2">
      <c r="A3379" t="s">
        <v>326</v>
      </c>
      <c r="B3379">
        <v>1</v>
      </c>
      <c r="C3379" t="s">
        <v>26</v>
      </c>
      <c r="D3379" t="s">
        <v>10</v>
      </c>
      <c r="E3379" t="s">
        <v>15</v>
      </c>
      <c r="F3379" t="s">
        <v>24</v>
      </c>
      <c r="G3379" t="s">
        <v>73</v>
      </c>
      <c r="H3379" t="s">
        <v>25</v>
      </c>
    </row>
    <row r="3382" spans="1:8" ht="16" x14ac:dyDescent="0.2">
      <c r="A3382" s="1" t="s">
        <v>4</v>
      </c>
      <c r="B3382" s="1" t="s">
        <v>493</v>
      </c>
    </row>
    <row r="3383" spans="1:8" x14ac:dyDescent="0.2">
      <c r="A3383" t="s">
        <v>5</v>
      </c>
      <c r="B3383" t="s">
        <v>26</v>
      </c>
    </row>
    <row r="3384" spans="1:8" x14ac:dyDescent="0.2">
      <c r="A3384" t="s">
        <v>6</v>
      </c>
      <c r="B3384">
        <v>1</v>
      </c>
    </row>
    <row r="3385" spans="1:8" x14ac:dyDescent="0.2">
      <c r="A3385" t="s">
        <v>7</v>
      </c>
      <c r="B3385" t="s">
        <v>88</v>
      </c>
    </row>
    <row r="3386" spans="1:8" x14ac:dyDescent="0.2">
      <c r="A3386" t="s">
        <v>8</v>
      </c>
      <c r="B3386" t="s">
        <v>9</v>
      </c>
    </row>
    <row r="3387" spans="1:8" x14ac:dyDescent="0.2">
      <c r="A3387" t="s">
        <v>10</v>
      </c>
      <c r="B3387" t="s">
        <v>10</v>
      </c>
    </row>
    <row r="3388" spans="1:8" x14ac:dyDescent="0.2">
      <c r="A3388" t="s">
        <v>11</v>
      </c>
      <c r="B3388" t="s">
        <v>12</v>
      </c>
    </row>
    <row r="3389" spans="1:8" x14ac:dyDescent="0.2">
      <c r="A3389" t="s">
        <v>13</v>
      </c>
      <c r="B3389" t="s">
        <v>291</v>
      </c>
    </row>
    <row r="3390" spans="1:8" x14ac:dyDescent="0.2">
      <c r="A3390" t="s">
        <v>14</v>
      </c>
      <c r="B3390" t="s">
        <v>271</v>
      </c>
    </row>
    <row r="3391" spans="1:8" x14ac:dyDescent="0.2">
      <c r="A3391" t="s">
        <v>16</v>
      </c>
      <c r="B3391" t="s">
        <v>15</v>
      </c>
    </row>
    <row r="3392" spans="1:8" x14ac:dyDescent="0.2">
      <c r="A3392" t="s">
        <v>17</v>
      </c>
      <c r="B3392" t="s">
        <v>195</v>
      </c>
    </row>
    <row r="3393" spans="1:8" ht="16" x14ac:dyDescent="0.2">
      <c r="A3393" s="1" t="s">
        <v>18</v>
      </c>
    </row>
    <row r="3394" spans="1:8" x14ac:dyDescent="0.2">
      <c r="A3394" t="s">
        <v>19</v>
      </c>
      <c r="B3394" t="s">
        <v>20</v>
      </c>
      <c r="C3394" t="s">
        <v>5</v>
      </c>
      <c r="D3394" t="s">
        <v>10</v>
      </c>
      <c r="E3394" t="s">
        <v>22</v>
      </c>
      <c r="F3394" t="s">
        <v>8</v>
      </c>
      <c r="G3394" t="s">
        <v>7</v>
      </c>
      <c r="H3394" t="s">
        <v>23</v>
      </c>
    </row>
    <row r="3395" spans="1:8" x14ac:dyDescent="0.2">
      <c r="A3395" t="s">
        <v>610</v>
      </c>
      <c r="B3395">
        <v>14</v>
      </c>
      <c r="C3395" t="s">
        <v>33</v>
      </c>
      <c r="D3395" t="s">
        <v>39</v>
      </c>
      <c r="F3395" t="s">
        <v>28</v>
      </c>
      <c r="G3395" t="s">
        <v>611</v>
      </c>
      <c r="H3395" t="s">
        <v>34</v>
      </c>
    </row>
    <row r="3396" spans="1:8" x14ac:dyDescent="0.2">
      <c r="A3396" t="s">
        <v>61</v>
      </c>
      <c r="B3396">
        <v>35</v>
      </c>
      <c r="C3396" t="s">
        <v>33</v>
      </c>
      <c r="D3396" t="s">
        <v>27</v>
      </c>
      <c r="E3396" t="s">
        <v>15</v>
      </c>
      <c r="F3396" t="s">
        <v>28</v>
      </c>
      <c r="G3396" t="s">
        <v>61</v>
      </c>
      <c r="H3396" t="s">
        <v>62</v>
      </c>
    </row>
    <row r="3397" spans="1:8" x14ac:dyDescent="0.2">
      <c r="A3397" t="s">
        <v>283</v>
      </c>
      <c r="B3397">
        <v>5.9608695652173918</v>
      </c>
      <c r="C3397" t="s">
        <v>33</v>
      </c>
      <c r="D3397" t="s">
        <v>27</v>
      </c>
      <c r="E3397" t="s">
        <v>15</v>
      </c>
      <c r="F3397" t="s">
        <v>28</v>
      </c>
      <c r="G3397" t="s">
        <v>284</v>
      </c>
      <c r="H3397" t="s">
        <v>34</v>
      </c>
    </row>
    <row r="3398" spans="1:8" x14ac:dyDescent="0.2">
      <c r="A3398" t="s">
        <v>285</v>
      </c>
      <c r="B3398">
        <v>4.4706521739130434</v>
      </c>
      <c r="C3398" t="s">
        <v>33</v>
      </c>
      <c r="D3398" t="s">
        <v>27</v>
      </c>
      <c r="E3398" t="s">
        <v>15</v>
      </c>
      <c r="F3398" t="s">
        <v>28</v>
      </c>
      <c r="G3398" t="s">
        <v>286</v>
      </c>
      <c r="H3398" t="s">
        <v>34</v>
      </c>
    </row>
    <row r="3399" spans="1:8" x14ac:dyDescent="0.2">
      <c r="A3399" t="s">
        <v>278</v>
      </c>
      <c r="B3399">
        <v>28.597828513614999</v>
      </c>
      <c r="C3399" t="s">
        <v>33</v>
      </c>
      <c r="D3399" t="s">
        <v>27</v>
      </c>
      <c r="E3399" t="s">
        <v>15</v>
      </c>
      <c r="F3399" t="s">
        <v>28</v>
      </c>
      <c r="G3399" t="s">
        <v>279</v>
      </c>
      <c r="H3399" t="s">
        <v>275</v>
      </c>
    </row>
    <row r="3400" spans="1:8" x14ac:dyDescent="0.2">
      <c r="A3400" t="s">
        <v>272</v>
      </c>
      <c r="B3400">
        <v>350</v>
      </c>
      <c r="C3400" t="s">
        <v>33</v>
      </c>
      <c r="D3400" t="s">
        <v>27</v>
      </c>
      <c r="E3400" t="s">
        <v>15</v>
      </c>
      <c r="F3400" t="s">
        <v>28</v>
      </c>
      <c r="G3400" t="s">
        <v>273</v>
      </c>
      <c r="H3400" t="s">
        <v>62</v>
      </c>
    </row>
    <row r="3401" spans="1:8" x14ac:dyDescent="0.2">
      <c r="A3401" t="s">
        <v>274</v>
      </c>
      <c r="B3401">
        <v>41.627175822718193</v>
      </c>
      <c r="C3401" t="s">
        <v>33</v>
      </c>
      <c r="D3401" t="s">
        <v>27</v>
      </c>
      <c r="E3401" t="s">
        <v>15</v>
      </c>
      <c r="F3401" t="s">
        <v>28</v>
      </c>
      <c r="G3401" t="s">
        <v>500</v>
      </c>
      <c r="H3401" t="s">
        <v>275</v>
      </c>
    </row>
    <row r="3402" spans="1:8" x14ac:dyDescent="0.2">
      <c r="A3402" t="s">
        <v>287</v>
      </c>
      <c r="B3402">
        <v>8.9413043478260867</v>
      </c>
      <c r="C3402" t="s">
        <v>33</v>
      </c>
      <c r="D3402" t="s">
        <v>27</v>
      </c>
      <c r="E3402" t="s">
        <v>15</v>
      </c>
      <c r="F3402" t="s">
        <v>28</v>
      </c>
      <c r="G3402" t="s">
        <v>288</v>
      </c>
      <c r="H3402" t="s">
        <v>34</v>
      </c>
    </row>
    <row r="3403" spans="1:8" x14ac:dyDescent="0.2">
      <c r="A3403" t="s">
        <v>289</v>
      </c>
      <c r="B3403">
        <v>3.973913043478261</v>
      </c>
      <c r="C3403" t="s">
        <v>33</v>
      </c>
      <c r="D3403" t="s">
        <v>27</v>
      </c>
      <c r="E3403" t="s">
        <v>15</v>
      </c>
      <c r="F3403" t="s">
        <v>28</v>
      </c>
      <c r="G3403" t="s">
        <v>290</v>
      </c>
      <c r="H3403" t="s">
        <v>34</v>
      </c>
    </row>
    <row r="3404" spans="1:8" x14ac:dyDescent="0.2">
      <c r="A3404" t="s">
        <v>280</v>
      </c>
      <c r="B3404">
        <v>-51.944567644049783</v>
      </c>
      <c r="C3404" t="s">
        <v>33</v>
      </c>
      <c r="D3404" t="s">
        <v>27</v>
      </c>
      <c r="E3404" t="s">
        <v>15</v>
      </c>
      <c r="F3404" t="s">
        <v>28</v>
      </c>
      <c r="G3404" t="s">
        <v>281</v>
      </c>
      <c r="H3404" t="s">
        <v>282</v>
      </c>
    </row>
    <row r="3405" spans="1:8" x14ac:dyDescent="0.2">
      <c r="A3405" t="s">
        <v>276</v>
      </c>
      <c r="B3405">
        <v>-315</v>
      </c>
      <c r="C3405" t="s">
        <v>33</v>
      </c>
      <c r="D3405" t="s">
        <v>27</v>
      </c>
      <c r="E3405" t="s">
        <v>15</v>
      </c>
      <c r="F3405" t="s">
        <v>28</v>
      </c>
      <c r="G3405" t="s">
        <v>277</v>
      </c>
      <c r="H3405" t="s">
        <v>25</v>
      </c>
    </row>
    <row r="3406" spans="1:8" x14ac:dyDescent="0.2">
      <c r="A3406" t="s">
        <v>501</v>
      </c>
      <c r="B3406">
        <v>-41.627175822718193</v>
      </c>
      <c r="C3406" t="s">
        <v>33</v>
      </c>
      <c r="D3406" t="s">
        <v>27</v>
      </c>
      <c r="E3406" t="s">
        <v>15</v>
      </c>
      <c r="F3406" t="s">
        <v>28</v>
      </c>
      <c r="G3406" t="s">
        <v>502</v>
      </c>
      <c r="H3406" t="s">
        <v>25</v>
      </c>
    </row>
    <row r="3407" spans="1:8" x14ac:dyDescent="0.2">
      <c r="A3407" t="s">
        <v>56</v>
      </c>
      <c r="B3407">
        <v>288</v>
      </c>
      <c r="C3407" t="s">
        <v>63</v>
      </c>
      <c r="D3407" t="s">
        <v>39</v>
      </c>
      <c r="E3407" t="s">
        <v>15</v>
      </c>
      <c r="F3407" t="s">
        <v>28</v>
      </c>
      <c r="G3407" t="s">
        <v>58</v>
      </c>
      <c r="H3407" t="s">
        <v>34</v>
      </c>
    </row>
    <row r="3408" spans="1:8" x14ac:dyDescent="0.2">
      <c r="A3408" t="s">
        <v>493</v>
      </c>
      <c r="B3408">
        <v>1</v>
      </c>
      <c r="C3408" t="s">
        <v>26</v>
      </c>
      <c r="D3408" t="s">
        <v>10</v>
      </c>
      <c r="E3408" t="s">
        <v>15</v>
      </c>
      <c r="F3408" t="s">
        <v>24</v>
      </c>
      <c r="G3408" t="s">
        <v>88</v>
      </c>
      <c r="H3408" t="s">
        <v>25</v>
      </c>
    </row>
    <row r="3411" spans="1:8" ht="16" x14ac:dyDescent="0.2">
      <c r="A3411" s="1" t="s">
        <v>4</v>
      </c>
      <c r="B3411" s="1" t="s">
        <v>467</v>
      </c>
    </row>
    <row r="3412" spans="1:8" x14ac:dyDescent="0.2">
      <c r="A3412" t="s">
        <v>5</v>
      </c>
      <c r="B3412" t="s">
        <v>26</v>
      </c>
    </row>
    <row r="3413" spans="1:8" x14ac:dyDescent="0.2">
      <c r="A3413" t="s">
        <v>6</v>
      </c>
      <c r="B3413">
        <v>1</v>
      </c>
    </row>
    <row r="3414" spans="1:8" x14ac:dyDescent="0.2">
      <c r="A3414" t="s">
        <v>7</v>
      </c>
      <c r="B3414" t="s">
        <v>65</v>
      </c>
    </row>
    <row r="3415" spans="1:8" x14ac:dyDescent="0.2">
      <c r="A3415" t="s">
        <v>8</v>
      </c>
      <c r="B3415" t="s">
        <v>9</v>
      </c>
    </row>
    <row r="3416" spans="1:8" x14ac:dyDescent="0.2">
      <c r="A3416" t="s">
        <v>10</v>
      </c>
      <c r="B3416" t="s">
        <v>10</v>
      </c>
    </row>
    <row r="3417" spans="1:8" x14ac:dyDescent="0.2">
      <c r="A3417" t="s">
        <v>11</v>
      </c>
      <c r="B3417" t="s">
        <v>12</v>
      </c>
    </row>
    <row r="3418" spans="1:8" x14ac:dyDescent="0.2">
      <c r="A3418" t="s">
        <v>13</v>
      </c>
      <c r="B3418" t="s">
        <v>291</v>
      </c>
    </row>
    <row r="3419" spans="1:8" x14ac:dyDescent="0.2">
      <c r="A3419" t="s">
        <v>14</v>
      </c>
      <c r="B3419" t="s">
        <v>271</v>
      </c>
    </row>
    <row r="3420" spans="1:8" x14ac:dyDescent="0.2">
      <c r="A3420" t="s">
        <v>16</v>
      </c>
      <c r="B3420" t="s">
        <v>15</v>
      </c>
    </row>
    <row r="3421" spans="1:8" x14ac:dyDescent="0.2">
      <c r="A3421" t="s">
        <v>17</v>
      </c>
      <c r="B3421" t="s">
        <v>196</v>
      </c>
    </row>
    <row r="3422" spans="1:8" ht="16" x14ac:dyDescent="0.2">
      <c r="A3422" s="1" t="s">
        <v>18</v>
      </c>
    </row>
    <row r="3423" spans="1:8" x14ac:dyDescent="0.2">
      <c r="A3423" t="s">
        <v>19</v>
      </c>
      <c r="B3423" t="s">
        <v>20</v>
      </c>
      <c r="C3423" t="s">
        <v>5</v>
      </c>
      <c r="D3423" t="s">
        <v>10</v>
      </c>
      <c r="E3423" t="s">
        <v>22</v>
      </c>
      <c r="F3423" t="s">
        <v>8</v>
      </c>
      <c r="G3423" t="s">
        <v>7</v>
      </c>
      <c r="H3423" t="s">
        <v>23</v>
      </c>
    </row>
    <row r="3424" spans="1:8" x14ac:dyDescent="0.2">
      <c r="A3424" t="s">
        <v>61</v>
      </c>
      <c r="B3424">
        <v>35</v>
      </c>
      <c r="C3424" t="s">
        <v>33</v>
      </c>
      <c r="D3424" t="s">
        <v>27</v>
      </c>
      <c r="E3424" t="s">
        <v>15</v>
      </c>
      <c r="F3424" t="s">
        <v>28</v>
      </c>
      <c r="G3424" t="s">
        <v>61</v>
      </c>
      <c r="H3424" t="s">
        <v>62</v>
      </c>
    </row>
    <row r="3425" spans="1:8" x14ac:dyDescent="0.2">
      <c r="A3425" t="s">
        <v>272</v>
      </c>
      <c r="B3425">
        <v>700</v>
      </c>
      <c r="C3425" t="s">
        <v>33</v>
      </c>
      <c r="D3425" t="s">
        <v>27</v>
      </c>
      <c r="E3425" t="s">
        <v>15</v>
      </c>
      <c r="F3425" t="s">
        <v>28</v>
      </c>
      <c r="G3425" t="s">
        <v>273</v>
      </c>
      <c r="H3425" t="s">
        <v>62</v>
      </c>
    </row>
    <row r="3426" spans="1:8" x14ac:dyDescent="0.2">
      <c r="A3426" t="s">
        <v>274</v>
      </c>
      <c r="B3426">
        <v>183.43462856445311</v>
      </c>
      <c r="C3426" t="s">
        <v>33</v>
      </c>
      <c r="D3426" t="s">
        <v>27</v>
      </c>
      <c r="E3426" t="s">
        <v>15</v>
      </c>
      <c r="F3426" t="s">
        <v>28</v>
      </c>
      <c r="G3426" t="s">
        <v>500</v>
      </c>
      <c r="H3426" t="s">
        <v>275</v>
      </c>
    </row>
    <row r="3427" spans="1:8" x14ac:dyDescent="0.2">
      <c r="A3427" t="s">
        <v>60</v>
      </c>
      <c r="B3427">
        <v>30.033333333333331</v>
      </c>
      <c r="C3427" t="s">
        <v>26</v>
      </c>
      <c r="D3427" t="s">
        <v>27</v>
      </c>
      <c r="E3427" t="s">
        <v>15</v>
      </c>
      <c r="F3427" t="s">
        <v>28</v>
      </c>
      <c r="G3427" t="s">
        <v>54</v>
      </c>
      <c r="H3427" t="s">
        <v>34</v>
      </c>
    </row>
    <row r="3428" spans="1:8" x14ac:dyDescent="0.2">
      <c r="A3428" t="s">
        <v>276</v>
      </c>
      <c r="B3428">
        <v>-695.0333333333333</v>
      </c>
      <c r="C3428" t="s">
        <v>33</v>
      </c>
      <c r="D3428" t="s">
        <v>27</v>
      </c>
      <c r="E3428" t="s">
        <v>15</v>
      </c>
      <c r="F3428" t="s">
        <v>28</v>
      </c>
      <c r="G3428" t="s">
        <v>277</v>
      </c>
      <c r="H3428" t="s">
        <v>25</v>
      </c>
    </row>
    <row r="3429" spans="1:8" x14ac:dyDescent="0.2">
      <c r="A3429" t="s">
        <v>501</v>
      </c>
      <c r="B3429">
        <v>-183.43462856445311</v>
      </c>
      <c r="C3429" t="s">
        <v>33</v>
      </c>
      <c r="D3429" t="s">
        <v>27</v>
      </c>
      <c r="E3429" t="s">
        <v>15</v>
      </c>
      <c r="F3429" t="s">
        <v>28</v>
      </c>
      <c r="G3429" t="s">
        <v>502</v>
      </c>
      <c r="H3429" t="s">
        <v>25</v>
      </c>
    </row>
    <row r="3430" spans="1:8" x14ac:dyDescent="0.2">
      <c r="A3430" t="s">
        <v>467</v>
      </c>
      <c r="B3430">
        <v>1</v>
      </c>
      <c r="C3430" t="s">
        <v>26</v>
      </c>
      <c r="D3430" t="s">
        <v>10</v>
      </c>
      <c r="E3430" t="s">
        <v>15</v>
      </c>
      <c r="F3430" t="s">
        <v>24</v>
      </c>
      <c r="G3430" t="s">
        <v>65</v>
      </c>
      <c r="H3430" t="s">
        <v>25</v>
      </c>
    </row>
    <row r="3432" spans="1:8" ht="16" x14ac:dyDescent="0.2">
      <c r="A3432" s="1" t="s">
        <v>4</v>
      </c>
      <c r="B3432" s="1" t="s">
        <v>443</v>
      </c>
    </row>
    <row r="3433" spans="1:8" x14ac:dyDescent="0.2">
      <c r="A3433" t="s">
        <v>5</v>
      </c>
      <c r="B3433" t="s">
        <v>26</v>
      </c>
    </row>
    <row r="3434" spans="1:8" x14ac:dyDescent="0.2">
      <c r="A3434" t="s">
        <v>6</v>
      </c>
      <c r="B3434">
        <v>1</v>
      </c>
    </row>
    <row r="3435" spans="1:8" x14ac:dyDescent="0.2">
      <c r="A3435" t="s">
        <v>7</v>
      </c>
      <c r="B3435" t="s">
        <v>67</v>
      </c>
    </row>
    <row r="3436" spans="1:8" x14ac:dyDescent="0.2">
      <c r="A3436" t="s">
        <v>8</v>
      </c>
      <c r="B3436" t="s">
        <v>9</v>
      </c>
    </row>
    <row r="3437" spans="1:8" x14ac:dyDescent="0.2">
      <c r="A3437" t="s">
        <v>10</v>
      </c>
      <c r="B3437" t="s">
        <v>10</v>
      </c>
    </row>
    <row r="3438" spans="1:8" x14ac:dyDescent="0.2">
      <c r="A3438" t="s">
        <v>11</v>
      </c>
      <c r="B3438" t="s">
        <v>12</v>
      </c>
    </row>
    <row r="3439" spans="1:8" x14ac:dyDescent="0.2">
      <c r="A3439" t="s">
        <v>13</v>
      </c>
      <c r="B3439" t="s">
        <v>291</v>
      </c>
    </row>
    <row r="3440" spans="1:8" x14ac:dyDescent="0.2">
      <c r="A3440" t="s">
        <v>14</v>
      </c>
      <c r="B3440" t="s">
        <v>271</v>
      </c>
    </row>
    <row r="3441" spans="1:8" x14ac:dyDescent="0.2">
      <c r="A3441" t="s">
        <v>16</v>
      </c>
      <c r="B3441" t="s">
        <v>15</v>
      </c>
    </row>
    <row r="3442" spans="1:8" x14ac:dyDescent="0.2">
      <c r="A3442" t="s">
        <v>17</v>
      </c>
      <c r="B3442" t="s">
        <v>197</v>
      </c>
    </row>
    <row r="3443" spans="1:8" ht="16" x14ac:dyDescent="0.2">
      <c r="A3443" s="1" t="s">
        <v>18</v>
      </c>
    </row>
    <row r="3444" spans="1:8" x14ac:dyDescent="0.2">
      <c r="A3444" t="s">
        <v>19</v>
      </c>
      <c r="B3444" t="s">
        <v>20</v>
      </c>
      <c r="C3444" t="s">
        <v>5</v>
      </c>
      <c r="D3444" t="s">
        <v>10</v>
      </c>
      <c r="E3444" t="s">
        <v>22</v>
      </c>
      <c r="F3444" t="s">
        <v>8</v>
      </c>
      <c r="G3444" t="s">
        <v>7</v>
      </c>
      <c r="H3444" t="s">
        <v>23</v>
      </c>
    </row>
    <row r="3445" spans="1:8" x14ac:dyDescent="0.2">
      <c r="A3445" t="s">
        <v>61</v>
      </c>
      <c r="B3445">
        <v>35</v>
      </c>
      <c r="C3445" t="s">
        <v>33</v>
      </c>
      <c r="D3445" t="s">
        <v>27</v>
      </c>
      <c r="E3445" t="s">
        <v>15</v>
      </c>
      <c r="F3445" t="s">
        <v>28</v>
      </c>
      <c r="G3445" t="s">
        <v>61</v>
      </c>
      <c r="H3445" t="s">
        <v>62</v>
      </c>
    </row>
    <row r="3446" spans="1:8" x14ac:dyDescent="0.2">
      <c r="A3446" t="s">
        <v>272</v>
      </c>
      <c r="B3446">
        <v>700</v>
      </c>
      <c r="C3446" t="s">
        <v>33</v>
      </c>
      <c r="D3446" t="s">
        <v>27</v>
      </c>
      <c r="E3446" t="s">
        <v>15</v>
      </c>
      <c r="F3446" t="s">
        <v>28</v>
      </c>
      <c r="G3446" t="s">
        <v>273</v>
      </c>
      <c r="H3446" t="s">
        <v>62</v>
      </c>
    </row>
    <row r="3447" spans="1:8" x14ac:dyDescent="0.2">
      <c r="A3447" t="s">
        <v>274</v>
      </c>
      <c r="B3447">
        <v>183.32010338134759</v>
      </c>
      <c r="C3447" t="s">
        <v>33</v>
      </c>
      <c r="D3447" t="s">
        <v>27</v>
      </c>
      <c r="E3447" t="s">
        <v>15</v>
      </c>
      <c r="F3447" t="s">
        <v>28</v>
      </c>
      <c r="G3447" t="s">
        <v>500</v>
      </c>
      <c r="H3447" t="s">
        <v>275</v>
      </c>
    </row>
    <row r="3448" spans="1:8" x14ac:dyDescent="0.2">
      <c r="A3448" t="s">
        <v>60</v>
      </c>
      <c r="B3448">
        <v>29.37083333333333</v>
      </c>
      <c r="C3448" t="s">
        <v>26</v>
      </c>
      <c r="D3448" t="s">
        <v>27</v>
      </c>
      <c r="E3448" t="s">
        <v>15</v>
      </c>
      <c r="F3448" t="s">
        <v>28</v>
      </c>
      <c r="G3448" t="s">
        <v>54</v>
      </c>
      <c r="H3448" t="s">
        <v>34</v>
      </c>
    </row>
    <row r="3449" spans="1:8" x14ac:dyDescent="0.2">
      <c r="A3449" t="s">
        <v>276</v>
      </c>
      <c r="B3449">
        <v>-694.37083333333328</v>
      </c>
      <c r="C3449" t="s">
        <v>33</v>
      </c>
      <c r="D3449" t="s">
        <v>27</v>
      </c>
      <c r="E3449" t="s">
        <v>15</v>
      </c>
      <c r="F3449" t="s">
        <v>28</v>
      </c>
      <c r="G3449" t="s">
        <v>277</v>
      </c>
      <c r="H3449" t="s">
        <v>25</v>
      </c>
    </row>
    <row r="3450" spans="1:8" x14ac:dyDescent="0.2">
      <c r="A3450" t="s">
        <v>501</v>
      </c>
      <c r="B3450">
        <v>-183.32010338134759</v>
      </c>
      <c r="C3450" t="s">
        <v>33</v>
      </c>
      <c r="D3450" t="s">
        <v>27</v>
      </c>
      <c r="E3450" t="s">
        <v>15</v>
      </c>
      <c r="F3450" t="s">
        <v>28</v>
      </c>
      <c r="G3450" t="s">
        <v>502</v>
      </c>
      <c r="H3450" t="s">
        <v>25</v>
      </c>
    </row>
    <row r="3451" spans="1:8" x14ac:dyDescent="0.2">
      <c r="A3451" t="s">
        <v>443</v>
      </c>
      <c r="B3451">
        <v>1</v>
      </c>
      <c r="C3451" t="s">
        <v>26</v>
      </c>
      <c r="D3451" t="s">
        <v>10</v>
      </c>
      <c r="E3451" t="s">
        <v>15</v>
      </c>
      <c r="F3451" t="s">
        <v>24</v>
      </c>
      <c r="G3451" t="s">
        <v>67</v>
      </c>
      <c r="H3451" t="s">
        <v>25</v>
      </c>
    </row>
    <row r="3453" spans="1:8" ht="16" x14ac:dyDescent="0.2">
      <c r="A3453" s="1" t="s">
        <v>4</v>
      </c>
      <c r="B3453" s="1" t="s">
        <v>419</v>
      </c>
    </row>
    <row r="3454" spans="1:8" x14ac:dyDescent="0.2">
      <c r="A3454" t="s">
        <v>5</v>
      </c>
      <c r="B3454" t="s">
        <v>26</v>
      </c>
    </row>
    <row r="3455" spans="1:8" x14ac:dyDescent="0.2">
      <c r="A3455" t="s">
        <v>6</v>
      </c>
      <c r="B3455">
        <v>1</v>
      </c>
    </row>
    <row r="3456" spans="1:8" x14ac:dyDescent="0.2">
      <c r="A3456" t="s">
        <v>7</v>
      </c>
      <c r="B3456" t="s">
        <v>69</v>
      </c>
    </row>
    <row r="3457" spans="1:8" x14ac:dyDescent="0.2">
      <c r="A3457" t="s">
        <v>8</v>
      </c>
      <c r="B3457" t="s">
        <v>9</v>
      </c>
    </row>
    <row r="3458" spans="1:8" x14ac:dyDescent="0.2">
      <c r="A3458" t="s">
        <v>10</v>
      </c>
      <c r="B3458" t="s">
        <v>10</v>
      </c>
    </row>
    <row r="3459" spans="1:8" x14ac:dyDescent="0.2">
      <c r="A3459" t="s">
        <v>11</v>
      </c>
      <c r="B3459" t="s">
        <v>12</v>
      </c>
    </row>
    <row r="3460" spans="1:8" x14ac:dyDescent="0.2">
      <c r="A3460" t="s">
        <v>13</v>
      </c>
      <c r="B3460" t="s">
        <v>291</v>
      </c>
    </row>
    <row r="3461" spans="1:8" x14ac:dyDescent="0.2">
      <c r="A3461" t="s">
        <v>14</v>
      </c>
      <c r="B3461" t="s">
        <v>271</v>
      </c>
    </row>
    <row r="3462" spans="1:8" x14ac:dyDescent="0.2">
      <c r="A3462" t="s">
        <v>16</v>
      </c>
      <c r="B3462" t="s">
        <v>15</v>
      </c>
    </row>
    <row r="3463" spans="1:8" x14ac:dyDescent="0.2">
      <c r="A3463" t="s">
        <v>17</v>
      </c>
      <c r="B3463" t="s">
        <v>198</v>
      </c>
    </row>
    <row r="3464" spans="1:8" ht="16" x14ac:dyDescent="0.2">
      <c r="A3464" s="1" t="s">
        <v>18</v>
      </c>
    </row>
    <row r="3465" spans="1:8" x14ac:dyDescent="0.2">
      <c r="A3465" t="s">
        <v>19</v>
      </c>
      <c r="B3465" t="s">
        <v>20</v>
      </c>
      <c r="C3465" t="s">
        <v>5</v>
      </c>
      <c r="D3465" t="s">
        <v>10</v>
      </c>
      <c r="E3465" t="s">
        <v>22</v>
      </c>
      <c r="F3465" t="s">
        <v>8</v>
      </c>
      <c r="G3465" t="s">
        <v>7</v>
      </c>
      <c r="H3465" t="s">
        <v>23</v>
      </c>
    </row>
    <row r="3466" spans="1:8" x14ac:dyDescent="0.2">
      <c r="A3466" t="s">
        <v>61</v>
      </c>
      <c r="B3466">
        <v>35</v>
      </c>
      <c r="C3466" t="s">
        <v>33</v>
      </c>
      <c r="D3466" t="s">
        <v>27</v>
      </c>
      <c r="E3466" t="s">
        <v>15</v>
      </c>
      <c r="F3466" t="s">
        <v>28</v>
      </c>
      <c r="G3466" t="s">
        <v>61</v>
      </c>
      <c r="H3466" t="s">
        <v>62</v>
      </c>
    </row>
    <row r="3467" spans="1:8" x14ac:dyDescent="0.2">
      <c r="A3467" t="s">
        <v>272</v>
      </c>
      <c r="B3467">
        <v>700</v>
      </c>
      <c r="C3467" t="s">
        <v>33</v>
      </c>
      <c r="D3467" t="s">
        <v>27</v>
      </c>
      <c r="E3467" t="s">
        <v>15</v>
      </c>
      <c r="F3467" t="s">
        <v>28</v>
      </c>
      <c r="G3467" t="s">
        <v>273</v>
      </c>
      <c r="H3467" t="s">
        <v>62</v>
      </c>
    </row>
    <row r="3468" spans="1:8" x14ac:dyDescent="0.2">
      <c r="A3468" t="s">
        <v>274</v>
      </c>
      <c r="B3468">
        <v>183.20557819824219</v>
      </c>
      <c r="C3468" t="s">
        <v>33</v>
      </c>
      <c r="D3468" t="s">
        <v>27</v>
      </c>
      <c r="E3468" t="s">
        <v>15</v>
      </c>
      <c r="F3468" t="s">
        <v>28</v>
      </c>
      <c r="G3468" t="s">
        <v>500</v>
      </c>
      <c r="H3468" t="s">
        <v>275</v>
      </c>
    </row>
    <row r="3469" spans="1:8" x14ac:dyDescent="0.2">
      <c r="A3469" t="s">
        <v>60</v>
      </c>
      <c r="B3469">
        <v>28.708333333333329</v>
      </c>
      <c r="C3469" t="s">
        <v>26</v>
      </c>
      <c r="D3469" t="s">
        <v>27</v>
      </c>
      <c r="E3469" t="s">
        <v>15</v>
      </c>
      <c r="F3469" t="s">
        <v>28</v>
      </c>
      <c r="G3469" t="s">
        <v>54</v>
      </c>
      <c r="H3469" t="s">
        <v>34</v>
      </c>
    </row>
    <row r="3470" spans="1:8" x14ac:dyDescent="0.2">
      <c r="A3470" t="s">
        <v>276</v>
      </c>
      <c r="B3470">
        <v>-693.70833333333337</v>
      </c>
      <c r="C3470" t="s">
        <v>33</v>
      </c>
      <c r="D3470" t="s">
        <v>27</v>
      </c>
      <c r="E3470" t="s">
        <v>15</v>
      </c>
      <c r="F3470" t="s">
        <v>28</v>
      </c>
      <c r="G3470" t="s">
        <v>277</v>
      </c>
      <c r="H3470" t="s">
        <v>25</v>
      </c>
    </row>
    <row r="3471" spans="1:8" x14ac:dyDescent="0.2">
      <c r="A3471" t="s">
        <v>501</v>
      </c>
      <c r="B3471">
        <v>-183.20557819824219</v>
      </c>
      <c r="C3471" t="s">
        <v>33</v>
      </c>
      <c r="D3471" t="s">
        <v>27</v>
      </c>
      <c r="E3471" t="s">
        <v>15</v>
      </c>
      <c r="F3471" t="s">
        <v>28</v>
      </c>
      <c r="G3471" t="s">
        <v>502</v>
      </c>
      <c r="H3471" t="s">
        <v>25</v>
      </c>
    </row>
    <row r="3472" spans="1:8" x14ac:dyDescent="0.2">
      <c r="A3472" t="s">
        <v>419</v>
      </c>
      <c r="B3472">
        <v>1</v>
      </c>
      <c r="C3472" t="s">
        <v>26</v>
      </c>
      <c r="D3472" t="s">
        <v>10</v>
      </c>
      <c r="E3472" t="s">
        <v>15</v>
      </c>
      <c r="F3472" t="s">
        <v>24</v>
      </c>
      <c r="G3472" t="s">
        <v>69</v>
      </c>
      <c r="H3472" t="s">
        <v>25</v>
      </c>
    </row>
    <row r="3474" spans="1:8" ht="16" x14ac:dyDescent="0.2">
      <c r="A3474" s="1" t="s">
        <v>4</v>
      </c>
      <c r="B3474" s="1" t="s">
        <v>383</v>
      </c>
    </row>
    <row r="3475" spans="1:8" x14ac:dyDescent="0.2">
      <c r="A3475" t="s">
        <v>5</v>
      </c>
      <c r="B3475" t="s">
        <v>26</v>
      </c>
    </row>
    <row r="3476" spans="1:8" x14ac:dyDescent="0.2">
      <c r="A3476" t="s">
        <v>6</v>
      </c>
      <c r="B3476">
        <v>1</v>
      </c>
    </row>
    <row r="3477" spans="1:8" x14ac:dyDescent="0.2">
      <c r="A3477" t="s">
        <v>7</v>
      </c>
      <c r="B3477" t="s">
        <v>71</v>
      </c>
    </row>
    <row r="3478" spans="1:8" x14ac:dyDescent="0.2">
      <c r="A3478" t="s">
        <v>8</v>
      </c>
      <c r="B3478" t="s">
        <v>9</v>
      </c>
    </row>
    <row r="3479" spans="1:8" x14ac:dyDescent="0.2">
      <c r="A3479" t="s">
        <v>10</v>
      </c>
      <c r="B3479" t="s">
        <v>10</v>
      </c>
    </row>
    <row r="3480" spans="1:8" x14ac:dyDescent="0.2">
      <c r="A3480" t="s">
        <v>11</v>
      </c>
      <c r="B3480" t="s">
        <v>12</v>
      </c>
    </row>
    <row r="3481" spans="1:8" x14ac:dyDescent="0.2">
      <c r="A3481" t="s">
        <v>13</v>
      </c>
      <c r="B3481" t="s">
        <v>291</v>
      </c>
    </row>
    <row r="3482" spans="1:8" x14ac:dyDescent="0.2">
      <c r="A3482" t="s">
        <v>14</v>
      </c>
      <c r="B3482" t="s">
        <v>271</v>
      </c>
    </row>
    <row r="3483" spans="1:8" x14ac:dyDescent="0.2">
      <c r="A3483" t="s">
        <v>16</v>
      </c>
      <c r="B3483" t="s">
        <v>15</v>
      </c>
    </row>
    <row r="3484" spans="1:8" x14ac:dyDescent="0.2">
      <c r="A3484" t="s">
        <v>17</v>
      </c>
      <c r="B3484" t="s">
        <v>199</v>
      </c>
    </row>
    <row r="3485" spans="1:8" ht="16" x14ac:dyDescent="0.2">
      <c r="A3485" s="1" t="s">
        <v>18</v>
      </c>
    </row>
    <row r="3486" spans="1:8" x14ac:dyDescent="0.2">
      <c r="A3486" t="s">
        <v>19</v>
      </c>
      <c r="B3486" t="s">
        <v>20</v>
      </c>
      <c r="C3486" t="s">
        <v>5</v>
      </c>
      <c r="D3486" t="s">
        <v>10</v>
      </c>
      <c r="E3486" t="s">
        <v>22</v>
      </c>
      <c r="F3486" t="s">
        <v>8</v>
      </c>
      <c r="G3486" t="s">
        <v>7</v>
      </c>
      <c r="H3486" t="s">
        <v>23</v>
      </c>
    </row>
    <row r="3487" spans="1:8" x14ac:dyDescent="0.2">
      <c r="A3487" t="s">
        <v>61</v>
      </c>
      <c r="B3487">
        <v>37.282608695652179</v>
      </c>
      <c r="C3487" t="s">
        <v>33</v>
      </c>
      <c r="D3487" t="s">
        <v>27</v>
      </c>
      <c r="E3487" t="s">
        <v>15</v>
      </c>
      <c r="F3487" t="s">
        <v>28</v>
      </c>
      <c r="G3487" t="s">
        <v>61</v>
      </c>
      <c r="H3487" t="s">
        <v>62</v>
      </c>
    </row>
    <row r="3488" spans="1:8" x14ac:dyDescent="0.2">
      <c r="A3488" t="s">
        <v>272</v>
      </c>
      <c r="B3488">
        <v>700</v>
      </c>
      <c r="C3488" t="s">
        <v>33</v>
      </c>
      <c r="D3488" t="s">
        <v>27</v>
      </c>
      <c r="E3488" t="s">
        <v>15</v>
      </c>
      <c r="F3488" t="s">
        <v>28</v>
      </c>
      <c r="G3488" t="s">
        <v>273</v>
      </c>
      <c r="H3488" t="s">
        <v>62</v>
      </c>
    </row>
    <row r="3489" spans="1:8" x14ac:dyDescent="0.2">
      <c r="A3489" t="s">
        <v>274</v>
      </c>
      <c r="B3489">
        <v>181.69376095800101</v>
      </c>
      <c r="C3489" t="s">
        <v>33</v>
      </c>
      <c r="D3489" t="s">
        <v>27</v>
      </c>
      <c r="E3489" t="s">
        <v>15</v>
      </c>
      <c r="F3489" t="s">
        <v>28</v>
      </c>
      <c r="G3489" t="s">
        <v>500</v>
      </c>
      <c r="H3489" t="s">
        <v>275</v>
      </c>
    </row>
    <row r="3490" spans="1:8" x14ac:dyDescent="0.2">
      <c r="A3490" t="s">
        <v>60</v>
      </c>
      <c r="B3490">
        <v>29.37083333333333</v>
      </c>
      <c r="C3490" t="s">
        <v>26</v>
      </c>
      <c r="D3490" t="s">
        <v>27</v>
      </c>
      <c r="E3490" t="s">
        <v>15</v>
      </c>
      <c r="F3490" t="s">
        <v>28</v>
      </c>
      <c r="G3490" t="s">
        <v>54</v>
      </c>
      <c r="H3490" t="s">
        <v>34</v>
      </c>
    </row>
    <row r="3491" spans="1:8" x14ac:dyDescent="0.2">
      <c r="A3491" t="s">
        <v>276</v>
      </c>
      <c r="B3491">
        <v>-692.08822463768115</v>
      </c>
      <c r="C3491" t="s">
        <v>33</v>
      </c>
      <c r="D3491" t="s">
        <v>27</v>
      </c>
      <c r="E3491" t="s">
        <v>15</v>
      </c>
      <c r="F3491" t="s">
        <v>28</v>
      </c>
      <c r="G3491" t="s">
        <v>277</v>
      </c>
      <c r="H3491" t="s">
        <v>25</v>
      </c>
    </row>
    <row r="3492" spans="1:8" x14ac:dyDescent="0.2">
      <c r="A3492" t="s">
        <v>501</v>
      </c>
      <c r="B3492">
        <v>-181.69376095800101</v>
      </c>
      <c r="C3492" t="s">
        <v>33</v>
      </c>
      <c r="D3492" t="s">
        <v>27</v>
      </c>
      <c r="E3492" t="s">
        <v>15</v>
      </c>
      <c r="F3492" t="s">
        <v>28</v>
      </c>
      <c r="G3492" t="s">
        <v>502</v>
      </c>
      <c r="H3492" t="s">
        <v>25</v>
      </c>
    </row>
    <row r="3493" spans="1:8" x14ac:dyDescent="0.2">
      <c r="A3493" t="s">
        <v>383</v>
      </c>
      <c r="B3493">
        <v>1</v>
      </c>
      <c r="C3493" t="s">
        <v>26</v>
      </c>
      <c r="D3493" t="s">
        <v>10</v>
      </c>
      <c r="E3493" t="s">
        <v>15</v>
      </c>
      <c r="F3493" t="s">
        <v>24</v>
      </c>
      <c r="G3493" t="s">
        <v>71</v>
      </c>
      <c r="H3493" t="s">
        <v>25</v>
      </c>
    </row>
    <row r="3495" spans="1:8" ht="16" x14ac:dyDescent="0.2">
      <c r="A3495" s="1" t="s">
        <v>4</v>
      </c>
      <c r="B3495" s="1" t="s">
        <v>327</v>
      </c>
    </row>
    <row r="3496" spans="1:8" x14ac:dyDescent="0.2">
      <c r="A3496" t="s">
        <v>5</v>
      </c>
      <c r="B3496" t="s">
        <v>26</v>
      </c>
    </row>
    <row r="3497" spans="1:8" x14ac:dyDescent="0.2">
      <c r="A3497" t="s">
        <v>6</v>
      </c>
      <c r="B3497">
        <v>1</v>
      </c>
    </row>
    <row r="3498" spans="1:8" x14ac:dyDescent="0.2">
      <c r="A3498" t="s">
        <v>7</v>
      </c>
      <c r="B3498" t="s">
        <v>73</v>
      </c>
    </row>
    <row r="3499" spans="1:8" x14ac:dyDescent="0.2">
      <c r="A3499" t="s">
        <v>8</v>
      </c>
      <c r="B3499" t="s">
        <v>9</v>
      </c>
    </row>
    <row r="3500" spans="1:8" x14ac:dyDescent="0.2">
      <c r="A3500" t="s">
        <v>10</v>
      </c>
      <c r="B3500" t="s">
        <v>10</v>
      </c>
    </row>
    <row r="3501" spans="1:8" x14ac:dyDescent="0.2">
      <c r="A3501" t="s">
        <v>11</v>
      </c>
      <c r="B3501" t="s">
        <v>12</v>
      </c>
    </row>
    <row r="3502" spans="1:8" x14ac:dyDescent="0.2">
      <c r="A3502" t="s">
        <v>13</v>
      </c>
      <c r="B3502" t="s">
        <v>291</v>
      </c>
    </row>
    <row r="3503" spans="1:8" x14ac:dyDescent="0.2">
      <c r="A3503" t="s">
        <v>14</v>
      </c>
      <c r="B3503" t="s">
        <v>271</v>
      </c>
    </row>
    <row r="3504" spans="1:8" x14ac:dyDescent="0.2">
      <c r="A3504" t="s">
        <v>16</v>
      </c>
      <c r="B3504" t="s">
        <v>15</v>
      </c>
    </row>
    <row r="3505" spans="1:8" x14ac:dyDescent="0.2">
      <c r="A3505" t="s">
        <v>17</v>
      </c>
      <c r="B3505" t="s">
        <v>200</v>
      </c>
    </row>
    <row r="3506" spans="1:8" ht="16" x14ac:dyDescent="0.2">
      <c r="A3506" s="1" t="s">
        <v>18</v>
      </c>
    </row>
    <row r="3507" spans="1:8" x14ac:dyDescent="0.2">
      <c r="A3507" t="s">
        <v>19</v>
      </c>
      <c r="B3507" t="s">
        <v>20</v>
      </c>
      <c r="C3507" t="s">
        <v>5</v>
      </c>
      <c r="D3507" t="s">
        <v>10</v>
      </c>
      <c r="E3507" t="s">
        <v>22</v>
      </c>
      <c r="F3507" t="s">
        <v>8</v>
      </c>
      <c r="G3507" t="s">
        <v>7</v>
      </c>
      <c r="H3507" t="s">
        <v>23</v>
      </c>
    </row>
    <row r="3508" spans="1:8" x14ac:dyDescent="0.2">
      <c r="A3508" t="s">
        <v>61</v>
      </c>
      <c r="B3508">
        <v>39.565217391304351</v>
      </c>
      <c r="C3508" t="s">
        <v>33</v>
      </c>
      <c r="D3508" t="s">
        <v>27</v>
      </c>
      <c r="E3508" t="s">
        <v>15</v>
      </c>
      <c r="F3508" t="s">
        <v>28</v>
      </c>
      <c r="G3508" t="s">
        <v>61</v>
      </c>
      <c r="H3508" t="s">
        <v>62</v>
      </c>
    </row>
    <row r="3509" spans="1:8" x14ac:dyDescent="0.2">
      <c r="A3509" t="s">
        <v>272</v>
      </c>
      <c r="B3509">
        <v>700</v>
      </c>
      <c r="C3509" t="s">
        <v>33</v>
      </c>
      <c r="D3509" t="s">
        <v>27</v>
      </c>
      <c r="E3509" t="s">
        <v>15</v>
      </c>
      <c r="F3509" t="s">
        <v>28</v>
      </c>
      <c r="G3509" t="s">
        <v>273</v>
      </c>
      <c r="H3509" t="s">
        <v>62</v>
      </c>
    </row>
    <row r="3510" spans="1:8" x14ac:dyDescent="0.2">
      <c r="A3510" t="s">
        <v>274</v>
      </c>
      <c r="B3510">
        <v>180.18395691132281</v>
      </c>
      <c r="C3510" t="s">
        <v>33</v>
      </c>
      <c r="D3510" t="s">
        <v>27</v>
      </c>
      <c r="E3510" t="s">
        <v>15</v>
      </c>
      <c r="F3510" t="s">
        <v>28</v>
      </c>
      <c r="G3510" t="s">
        <v>500</v>
      </c>
      <c r="H3510" t="s">
        <v>275</v>
      </c>
    </row>
    <row r="3511" spans="1:8" x14ac:dyDescent="0.2">
      <c r="A3511" t="s">
        <v>60</v>
      </c>
      <c r="B3511">
        <v>30.033333333333331</v>
      </c>
      <c r="C3511" t="s">
        <v>26</v>
      </c>
      <c r="D3511" t="s">
        <v>27</v>
      </c>
      <c r="E3511" t="s">
        <v>15</v>
      </c>
      <c r="F3511" t="s">
        <v>28</v>
      </c>
      <c r="G3511" t="s">
        <v>54</v>
      </c>
      <c r="H3511" t="s">
        <v>34</v>
      </c>
    </row>
    <row r="3512" spans="1:8" x14ac:dyDescent="0.2">
      <c r="A3512" t="s">
        <v>276</v>
      </c>
      <c r="B3512">
        <v>-690.46811594202893</v>
      </c>
      <c r="C3512" t="s">
        <v>33</v>
      </c>
      <c r="D3512" t="s">
        <v>27</v>
      </c>
      <c r="E3512" t="s">
        <v>15</v>
      </c>
      <c r="F3512" t="s">
        <v>28</v>
      </c>
      <c r="G3512" t="s">
        <v>277</v>
      </c>
      <c r="H3512" t="s">
        <v>25</v>
      </c>
    </row>
    <row r="3513" spans="1:8" x14ac:dyDescent="0.2">
      <c r="A3513" t="s">
        <v>501</v>
      </c>
      <c r="B3513">
        <v>-180.18395691132281</v>
      </c>
      <c r="C3513" t="s">
        <v>33</v>
      </c>
      <c r="D3513" t="s">
        <v>27</v>
      </c>
      <c r="E3513" t="s">
        <v>15</v>
      </c>
      <c r="F3513" t="s">
        <v>28</v>
      </c>
      <c r="G3513" t="s">
        <v>502</v>
      </c>
      <c r="H3513" t="s">
        <v>25</v>
      </c>
    </row>
    <row r="3514" spans="1:8" x14ac:dyDescent="0.2">
      <c r="A3514" t="s">
        <v>327</v>
      </c>
      <c r="B3514">
        <v>1</v>
      </c>
      <c r="C3514" t="s">
        <v>26</v>
      </c>
      <c r="D3514" t="s">
        <v>10</v>
      </c>
      <c r="E3514" t="s">
        <v>15</v>
      </c>
      <c r="F3514" t="s">
        <v>24</v>
      </c>
      <c r="G3514" t="s">
        <v>73</v>
      </c>
      <c r="H3514" t="s">
        <v>25</v>
      </c>
    </row>
    <row r="3517" spans="1:8" ht="16" x14ac:dyDescent="0.2">
      <c r="A3517" s="1" t="s">
        <v>4</v>
      </c>
      <c r="B3517" s="1" t="s">
        <v>468</v>
      </c>
    </row>
    <row r="3518" spans="1:8" x14ac:dyDescent="0.2">
      <c r="A3518" t="s">
        <v>5</v>
      </c>
      <c r="B3518" t="s">
        <v>26</v>
      </c>
    </row>
    <row r="3519" spans="1:8" x14ac:dyDescent="0.2">
      <c r="A3519" t="s">
        <v>6</v>
      </c>
      <c r="B3519">
        <v>1</v>
      </c>
    </row>
    <row r="3520" spans="1:8" x14ac:dyDescent="0.2">
      <c r="A3520" t="s">
        <v>7</v>
      </c>
      <c r="B3520" t="s">
        <v>65</v>
      </c>
    </row>
    <row r="3521" spans="1:8" x14ac:dyDescent="0.2">
      <c r="A3521" t="s">
        <v>8</v>
      </c>
      <c r="B3521" t="s">
        <v>9</v>
      </c>
    </row>
    <row r="3522" spans="1:8" x14ac:dyDescent="0.2">
      <c r="A3522" t="s">
        <v>10</v>
      </c>
      <c r="B3522" t="s">
        <v>10</v>
      </c>
    </row>
    <row r="3523" spans="1:8" x14ac:dyDescent="0.2">
      <c r="A3523" t="s">
        <v>11</v>
      </c>
      <c r="B3523" t="s">
        <v>12</v>
      </c>
    </row>
    <row r="3524" spans="1:8" x14ac:dyDescent="0.2">
      <c r="A3524" t="s">
        <v>13</v>
      </c>
      <c r="B3524" t="s">
        <v>291</v>
      </c>
    </row>
    <row r="3525" spans="1:8" x14ac:dyDescent="0.2">
      <c r="A3525" t="s">
        <v>14</v>
      </c>
      <c r="B3525" t="s">
        <v>271</v>
      </c>
    </row>
    <row r="3526" spans="1:8" x14ac:dyDescent="0.2">
      <c r="A3526" t="s">
        <v>16</v>
      </c>
      <c r="B3526" t="s">
        <v>15</v>
      </c>
    </row>
    <row r="3527" spans="1:8" x14ac:dyDescent="0.2">
      <c r="A3527" t="s">
        <v>17</v>
      </c>
      <c r="B3527" t="s">
        <v>201</v>
      </c>
    </row>
    <row r="3528" spans="1:8" ht="16" x14ac:dyDescent="0.2">
      <c r="A3528" s="1" t="s">
        <v>18</v>
      </c>
    </row>
    <row r="3529" spans="1:8" x14ac:dyDescent="0.2">
      <c r="A3529" t="s">
        <v>19</v>
      </c>
      <c r="B3529" t="s">
        <v>20</v>
      </c>
      <c r="C3529" t="s">
        <v>5</v>
      </c>
      <c r="D3529" t="s">
        <v>10</v>
      </c>
      <c r="E3529" t="s">
        <v>22</v>
      </c>
      <c r="F3529" t="s">
        <v>8</v>
      </c>
      <c r="G3529" t="s">
        <v>7</v>
      </c>
      <c r="H3529" t="s">
        <v>23</v>
      </c>
    </row>
    <row r="3530" spans="1:8" x14ac:dyDescent="0.2">
      <c r="A3530" t="s">
        <v>61</v>
      </c>
      <c r="B3530">
        <v>35</v>
      </c>
      <c r="C3530" t="s">
        <v>33</v>
      </c>
      <c r="D3530" t="s">
        <v>27</v>
      </c>
      <c r="E3530" t="s">
        <v>15</v>
      </c>
      <c r="F3530" t="s">
        <v>28</v>
      </c>
      <c r="G3530" t="s">
        <v>61</v>
      </c>
      <c r="H3530" t="s">
        <v>62</v>
      </c>
    </row>
    <row r="3531" spans="1:8" x14ac:dyDescent="0.2">
      <c r="A3531" t="s">
        <v>272</v>
      </c>
      <c r="B3531">
        <v>700</v>
      </c>
      <c r="C3531" t="s">
        <v>33</v>
      </c>
      <c r="D3531" t="s">
        <v>27</v>
      </c>
      <c r="E3531" t="s">
        <v>15</v>
      </c>
      <c r="F3531" t="s">
        <v>28</v>
      </c>
      <c r="G3531" t="s">
        <v>273</v>
      </c>
      <c r="H3531" t="s">
        <v>62</v>
      </c>
    </row>
    <row r="3532" spans="1:8" x14ac:dyDescent="0.2">
      <c r="A3532" t="s">
        <v>274</v>
      </c>
      <c r="B3532">
        <v>199.20991785942101</v>
      </c>
      <c r="C3532" t="s">
        <v>33</v>
      </c>
      <c r="D3532" t="s">
        <v>27</v>
      </c>
      <c r="E3532" t="s">
        <v>15</v>
      </c>
      <c r="F3532" t="s">
        <v>28</v>
      </c>
      <c r="G3532" t="s">
        <v>500</v>
      </c>
      <c r="H3532" t="s">
        <v>275</v>
      </c>
    </row>
    <row r="3533" spans="1:8" x14ac:dyDescent="0.2">
      <c r="A3533" t="s">
        <v>60</v>
      </c>
      <c r="B3533">
        <v>30.316666666666659</v>
      </c>
      <c r="C3533" t="s">
        <v>26</v>
      </c>
      <c r="D3533" t="s">
        <v>27</v>
      </c>
      <c r="E3533" t="s">
        <v>15</v>
      </c>
      <c r="F3533" t="s">
        <v>28</v>
      </c>
      <c r="G3533" t="s">
        <v>54</v>
      </c>
      <c r="H3533" t="s">
        <v>34</v>
      </c>
    </row>
    <row r="3534" spans="1:8" x14ac:dyDescent="0.2">
      <c r="A3534" t="s">
        <v>276</v>
      </c>
      <c r="B3534">
        <v>-695.31666666666661</v>
      </c>
      <c r="C3534" t="s">
        <v>33</v>
      </c>
      <c r="D3534" t="s">
        <v>27</v>
      </c>
      <c r="E3534" t="s">
        <v>15</v>
      </c>
      <c r="F3534" t="s">
        <v>28</v>
      </c>
      <c r="G3534" t="s">
        <v>277</v>
      </c>
      <c r="H3534" t="s">
        <v>25</v>
      </c>
    </row>
    <row r="3535" spans="1:8" x14ac:dyDescent="0.2">
      <c r="A3535" t="s">
        <v>501</v>
      </c>
      <c r="B3535">
        <v>-199.20991785942101</v>
      </c>
      <c r="C3535" t="s">
        <v>33</v>
      </c>
      <c r="D3535" t="s">
        <v>27</v>
      </c>
      <c r="E3535" t="s">
        <v>15</v>
      </c>
      <c r="F3535" t="s">
        <v>28</v>
      </c>
      <c r="G3535" t="s">
        <v>502</v>
      </c>
      <c r="H3535" t="s">
        <v>25</v>
      </c>
    </row>
    <row r="3536" spans="1:8" x14ac:dyDescent="0.2">
      <c r="A3536" t="s">
        <v>468</v>
      </c>
      <c r="B3536">
        <v>1</v>
      </c>
      <c r="C3536" t="s">
        <v>26</v>
      </c>
      <c r="D3536" t="s">
        <v>10</v>
      </c>
      <c r="E3536" t="s">
        <v>15</v>
      </c>
      <c r="F3536" t="s">
        <v>24</v>
      </c>
      <c r="G3536" t="s">
        <v>65</v>
      </c>
      <c r="H3536" t="s">
        <v>25</v>
      </c>
    </row>
    <row r="3538" spans="1:8" ht="16" x14ac:dyDescent="0.2">
      <c r="A3538" s="1" t="s">
        <v>4</v>
      </c>
      <c r="B3538" s="1" t="s">
        <v>444</v>
      </c>
    </row>
    <row r="3539" spans="1:8" x14ac:dyDescent="0.2">
      <c r="A3539" t="s">
        <v>5</v>
      </c>
      <c r="B3539" t="s">
        <v>26</v>
      </c>
    </row>
    <row r="3540" spans="1:8" x14ac:dyDescent="0.2">
      <c r="A3540" t="s">
        <v>6</v>
      </c>
      <c r="B3540">
        <v>1</v>
      </c>
    </row>
    <row r="3541" spans="1:8" x14ac:dyDescent="0.2">
      <c r="A3541" t="s">
        <v>7</v>
      </c>
      <c r="B3541" t="s">
        <v>67</v>
      </c>
    </row>
    <row r="3542" spans="1:8" x14ac:dyDescent="0.2">
      <c r="A3542" t="s">
        <v>8</v>
      </c>
      <c r="B3542" t="s">
        <v>9</v>
      </c>
    </row>
    <row r="3543" spans="1:8" x14ac:dyDescent="0.2">
      <c r="A3543" t="s">
        <v>10</v>
      </c>
      <c r="B3543" t="s">
        <v>10</v>
      </c>
    </row>
    <row r="3544" spans="1:8" x14ac:dyDescent="0.2">
      <c r="A3544" t="s">
        <v>11</v>
      </c>
      <c r="B3544" t="s">
        <v>12</v>
      </c>
    </row>
    <row r="3545" spans="1:8" x14ac:dyDescent="0.2">
      <c r="A3545" t="s">
        <v>13</v>
      </c>
      <c r="B3545" t="s">
        <v>291</v>
      </c>
    </row>
    <row r="3546" spans="1:8" x14ac:dyDescent="0.2">
      <c r="A3546" t="s">
        <v>14</v>
      </c>
      <c r="B3546" t="s">
        <v>271</v>
      </c>
    </row>
    <row r="3547" spans="1:8" x14ac:dyDescent="0.2">
      <c r="A3547" t="s">
        <v>16</v>
      </c>
      <c r="B3547" t="s">
        <v>15</v>
      </c>
    </row>
    <row r="3548" spans="1:8" x14ac:dyDescent="0.2">
      <c r="A3548" t="s">
        <v>17</v>
      </c>
      <c r="B3548" t="s">
        <v>202</v>
      </c>
    </row>
    <row r="3549" spans="1:8" ht="16" x14ac:dyDescent="0.2">
      <c r="A3549" s="1" t="s">
        <v>18</v>
      </c>
    </row>
    <row r="3550" spans="1:8" x14ac:dyDescent="0.2">
      <c r="A3550" t="s">
        <v>19</v>
      </c>
      <c r="B3550" t="s">
        <v>20</v>
      </c>
      <c r="C3550" t="s">
        <v>5</v>
      </c>
      <c r="D3550" t="s">
        <v>10</v>
      </c>
      <c r="E3550" t="s">
        <v>22</v>
      </c>
      <c r="F3550" t="s">
        <v>8</v>
      </c>
      <c r="G3550" t="s">
        <v>7</v>
      </c>
      <c r="H3550" t="s">
        <v>23</v>
      </c>
    </row>
    <row r="3551" spans="1:8" x14ac:dyDescent="0.2">
      <c r="A3551" t="s">
        <v>61</v>
      </c>
      <c r="B3551">
        <v>35</v>
      </c>
      <c r="C3551" t="s">
        <v>33</v>
      </c>
      <c r="D3551" t="s">
        <v>27</v>
      </c>
      <c r="E3551" t="s">
        <v>15</v>
      </c>
      <c r="F3551" t="s">
        <v>28</v>
      </c>
      <c r="G3551" t="s">
        <v>61</v>
      </c>
      <c r="H3551" t="s">
        <v>62</v>
      </c>
    </row>
    <row r="3552" spans="1:8" x14ac:dyDescent="0.2">
      <c r="A3552" t="s">
        <v>272</v>
      </c>
      <c r="B3552">
        <v>700</v>
      </c>
      <c r="C3552" t="s">
        <v>33</v>
      </c>
      <c r="D3552" t="s">
        <v>27</v>
      </c>
      <c r="E3552" t="s">
        <v>15</v>
      </c>
      <c r="F3552" t="s">
        <v>28</v>
      </c>
      <c r="G3552" t="s">
        <v>273</v>
      </c>
      <c r="H3552" t="s">
        <v>62</v>
      </c>
    </row>
    <row r="3553" spans="1:8" x14ac:dyDescent="0.2">
      <c r="A3553" t="s">
        <v>274</v>
      </c>
      <c r="B3553">
        <v>198.87646495730769</v>
      </c>
      <c r="C3553" t="s">
        <v>33</v>
      </c>
      <c r="D3553" t="s">
        <v>27</v>
      </c>
      <c r="E3553" t="s">
        <v>15</v>
      </c>
      <c r="F3553" t="s">
        <v>28</v>
      </c>
      <c r="G3553" t="s">
        <v>500</v>
      </c>
      <c r="H3553" t="s">
        <v>275</v>
      </c>
    </row>
    <row r="3554" spans="1:8" x14ac:dyDescent="0.2">
      <c r="A3554" t="s">
        <v>60</v>
      </c>
      <c r="B3554">
        <v>28.533333333333321</v>
      </c>
      <c r="C3554" t="s">
        <v>26</v>
      </c>
      <c r="D3554" t="s">
        <v>27</v>
      </c>
      <c r="E3554" t="s">
        <v>15</v>
      </c>
      <c r="F3554" t="s">
        <v>28</v>
      </c>
      <c r="G3554" t="s">
        <v>54</v>
      </c>
      <c r="H3554" t="s">
        <v>34</v>
      </c>
    </row>
    <row r="3555" spans="1:8" x14ac:dyDescent="0.2">
      <c r="A3555" t="s">
        <v>276</v>
      </c>
      <c r="B3555">
        <v>-693.5333333333333</v>
      </c>
      <c r="C3555" t="s">
        <v>33</v>
      </c>
      <c r="D3555" t="s">
        <v>27</v>
      </c>
      <c r="E3555" t="s">
        <v>15</v>
      </c>
      <c r="F3555" t="s">
        <v>28</v>
      </c>
      <c r="G3555" t="s">
        <v>277</v>
      </c>
      <c r="H3555" t="s">
        <v>25</v>
      </c>
    </row>
    <row r="3556" spans="1:8" x14ac:dyDescent="0.2">
      <c r="A3556" t="s">
        <v>501</v>
      </c>
      <c r="B3556">
        <v>-198.87646495730769</v>
      </c>
      <c r="C3556" t="s">
        <v>33</v>
      </c>
      <c r="D3556" t="s">
        <v>27</v>
      </c>
      <c r="E3556" t="s">
        <v>15</v>
      </c>
      <c r="F3556" t="s">
        <v>28</v>
      </c>
      <c r="G3556" t="s">
        <v>502</v>
      </c>
      <c r="H3556" t="s">
        <v>25</v>
      </c>
    </row>
    <row r="3557" spans="1:8" x14ac:dyDescent="0.2">
      <c r="A3557" t="s">
        <v>444</v>
      </c>
      <c r="B3557">
        <v>1</v>
      </c>
      <c r="C3557" t="s">
        <v>26</v>
      </c>
      <c r="D3557" t="s">
        <v>10</v>
      </c>
      <c r="E3557" t="s">
        <v>15</v>
      </c>
      <c r="F3557" t="s">
        <v>24</v>
      </c>
      <c r="G3557" t="s">
        <v>67</v>
      </c>
      <c r="H3557" t="s">
        <v>25</v>
      </c>
    </row>
    <row r="3559" spans="1:8" ht="16" x14ac:dyDescent="0.2">
      <c r="A3559" s="1" t="s">
        <v>4</v>
      </c>
      <c r="B3559" s="1" t="s">
        <v>420</v>
      </c>
    </row>
    <row r="3560" spans="1:8" x14ac:dyDescent="0.2">
      <c r="A3560" t="s">
        <v>5</v>
      </c>
      <c r="B3560" t="s">
        <v>26</v>
      </c>
    </row>
    <row r="3561" spans="1:8" x14ac:dyDescent="0.2">
      <c r="A3561" t="s">
        <v>6</v>
      </c>
      <c r="B3561">
        <v>1</v>
      </c>
    </row>
    <row r="3562" spans="1:8" x14ac:dyDescent="0.2">
      <c r="A3562" t="s">
        <v>7</v>
      </c>
      <c r="B3562" t="s">
        <v>69</v>
      </c>
    </row>
    <row r="3563" spans="1:8" x14ac:dyDescent="0.2">
      <c r="A3563" t="s">
        <v>8</v>
      </c>
      <c r="B3563" t="s">
        <v>9</v>
      </c>
    </row>
    <row r="3564" spans="1:8" x14ac:dyDescent="0.2">
      <c r="A3564" t="s">
        <v>10</v>
      </c>
      <c r="B3564" t="s">
        <v>10</v>
      </c>
    </row>
    <row r="3565" spans="1:8" x14ac:dyDescent="0.2">
      <c r="A3565" t="s">
        <v>11</v>
      </c>
      <c r="B3565" t="s">
        <v>12</v>
      </c>
    </row>
    <row r="3566" spans="1:8" x14ac:dyDescent="0.2">
      <c r="A3566" t="s">
        <v>13</v>
      </c>
      <c r="B3566" t="s">
        <v>291</v>
      </c>
    </row>
    <row r="3567" spans="1:8" x14ac:dyDescent="0.2">
      <c r="A3567" t="s">
        <v>14</v>
      </c>
      <c r="B3567" t="s">
        <v>271</v>
      </c>
    </row>
    <row r="3568" spans="1:8" x14ac:dyDescent="0.2">
      <c r="A3568" t="s">
        <v>16</v>
      </c>
      <c r="B3568" t="s">
        <v>15</v>
      </c>
    </row>
    <row r="3569" spans="1:8" x14ac:dyDescent="0.2">
      <c r="A3569" t="s">
        <v>17</v>
      </c>
      <c r="B3569" t="s">
        <v>203</v>
      </c>
    </row>
    <row r="3570" spans="1:8" ht="16" x14ac:dyDescent="0.2">
      <c r="A3570" s="1" t="s">
        <v>18</v>
      </c>
    </row>
    <row r="3571" spans="1:8" x14ac:dyDescent="0.2">
      <c r="A3571" t="s">
        <v>19</v>
      </c>
      <c r="B3571" t="s">
        <v>20</v>
      </c>
      <c r="C3571" t="s">
        <v>5</v>
      </c>
      <c r="D3571" t="s">
        <v>10</v>
      </c>
      <c r="E3571" t="s">
        <v>22</v>
      </c>
      <c r="F3571" t="s">
        <v>8</v>
      </c>
      <c r="G3571" t="s">
        <v>7</v>
      </c>
      <c r="H3571" t="s">
        <v>23</v>
      </c>
    </row>
    <row r="3572" spans="1:8" x14ac:dyDescent="0.2">
      <c r="A3572" t="s">
        <v>61</v>
      </c>
      <c r="B3572">
        <v>35</v>
      </c>
      <c r="C3572" t="s">
        <v>33</v>
      </c>
      <c r="D3572" t="s">
        <v>27</v>
      </c>
      <c r="E3572" t="s">
        <v>15</v>
      </c>
      <c r="F3572" t="s">
        <v>28</v>
      </c>
      <c r="G3572" t="s">
        <v>61</v>
      </c>
      <c r="H3572" t="s">
        <v>62</v>
      </c>
    </row>
    <row r="3573" spans="1:8" x14ac:dyDescent="0.2">
      <c r="A3573" t="s">
        <v>272</v>
      </c>
      <c r="B3573">
        <v>700</v>
      </c>
      <c r="C3573" t="s">
        <v>33</v>
      </c>
      <c r="D3573" t="s">
        <v>27</v>
      </c>
      <c r="E3573" t="s">
        <v>15</v>
      </c>
      <c r="F3573" t="s">
        <v>28</v>
      </c>
      <c r="G3573" t="s">
        <v>273</v>
      </c>
      <c r="H3573" t="s">
        <v>62</v>
      </c>
    </row>
    <row r="3574" spans="1:8" x14ac:dyDescent="0.2">
      <c r="A3574" t="s">
        <v>274</v>
      </c>
      <c r="B3574">
        <v>198.54301205519451</v>
      </c>
      <c r="C3574" t="s">
        <v>33</v>
      </c>
      <c r="D3574" t="s">
        <v>27</v>
      </c>
      <c r="E3574" t="s">
        <v>15</v>
      </c>
      <c r="F3574" t="s">
        <v>28</v>
      </c>
      <c r="G3574" t="s">
        <v>500</v>
      </c>
      <c r="H3574" t="s">
        <v>275</v>
      </c>
    </row>
    <row r="3575" spans="1:8" x14ac:dyDescent="0.2">
      <c r="A3575" t="s">
        <v>60</v>
      </c>
      <c r="B3575">
        <v>26.75</v>
      </c>
      <c r="C3575" t="s">
        <v>26</v>
      </c>
      <c r="D3575" t="s">
        <v>27</v>
      </c>
      <c r="E3575" t="s">
        <v>15</v>
      </c>
      <c r="F3575" t="s">
        <v>28</v>
      </c>
      <c r="G3575" t="s">
        <v>54</v>
      </c>
      <c r="H3575" t="s">
        <v>34</v>
      </c>
    </row>
    <row r="3576" spans="1:8" x14ac:dyDescent="0.2">
      <c r="A3576" t="s">
        <v>276</v>
      </c>
      <c r="B3576">
        <v>-691.75</v>
      </c>
      <c r="C3576" t="s">
        <v>33</v>
      </c>
      <c r="D3576" t="s">
        <v>27</v>
      </c>
      <c r="E3576" t="s">
        <v>15</v>
      </c>
      <c r="F3576" t="s">
        <v>28</v>
      </c>
      <c r="G3576" t="s">
        <v>277</v>
      </c>
      <c r="H3576" t="s">
        <v>25</v>
      </c>
    </row>
    <row r="3577" spans="1:8" x14ac:dyDescent="0.2">
      <c r="A3577" t="s">
        <v>501</v>
      </c>
      <c r="B3577">
        <v>-198.54301205519451</v>
      </c>
      <c r="C3577" t="s">
        <v>33</v>
      </c>
      <c r="D3577" t="s">
        <v>27</v>
      </c>
      <c r="E3577" t="s">
        <v>15</v>
      </c>
      <c r="F3577" t="s">
        <v>28</v>
      </c>
      <c r="G3577" t="s">
        <v>502</v>
      </c>
      <c r="H3577" t="s">
        <v>25</v>
      </c>
    </row>
    <row r="3578" spans="1:8" x14ac:dyDescent="0.2">
      <c r="A3578" t="s">
        <v>420</v>
      </c>
      <c r="B3578">
        <v>1</v>
      </c>
      <c r="C3578" t="s">
        <v>26</v>
      </c>
      <c r="D3578" t="s">
        <v>10</v>
      </c>
      <c r="E3578" t="s">
        <v>15</v>
      </c>
      <c r="F3578" t="s">
        <v>24</v>
      </c>
      <c r="G3578" t="s">
        <v>69</v>
      </c>
      <c r="H3578" t="s">
        <v>25</v>
      </c>
    </row>
    <row r="3580" spans="1:8" ht="16" x14ac:dyDescent="0.2">
      <c r="A3580" s="1" t="s">
        <v>4</v>
      </c>
      <c r="B3580" s="1" t="s">
        <v>384</v>
      </c>
    </row>
    <row r="3581" spans="1:8" x14ac:dyDescent="0.2">
      <c r="A3581" t="s">
        <v>5</v>
      </c>
      <c r="B3581" t="s">
        <v>26</v>
      </c>
    </row>
    <row r="3582" spans="1:8" x14ac:dyDescent="0.2">
      <c r="A3582" t="s">
        <v>6</v>
      </c>
      <c r="B3582">
        <v>1</v>
      </c>
    </row>
    <row r="3583" spans="1:8" x14ac:dyDescent="0.2">
      <c r="A3583" t="s">
        <v>7</v>
      </c>
      <c r="B3583" t="s">
        <v>71</v>
      </c>
    </row>
    <row r="3584" spans="1:8" x14ac:dyDescent="0.2">
      <c r="A3584" t="s">
        <v>8</v>
      </c>
      <c r="B3584" t="s">
        <v>9</v>
      </c>
    </row>
    <row r="3585" spans="1:8" x14ac:dyDescent="0.2">
      <c r="A3585" t="s">
        <v>10</v>
      </c>
      <c r="B3585" t="s">
        <v>10</v>
      </c>
    </row>
    <row r="3586" spans="1:8" x14ac:dyDescent="0.2">
      <c r="A3586" t="s">
        <v>11</v>
      </c>
      <c r="B3586" t="s">
        <v>12</v>
      </c>
    </row>
    <row r="3587" spans="1:8" x14ac:dyDescent="0.2">
      <c r="A3587" t="s">
        <v>13</v>
      </c>
      <c r="B3587" t="s">
        <v>291</v>
      </c>
    </row>
    <row r="3588" spans="1:8" x14ac:dyDescent="0.2">
      <c r="A3588" t="s">
        <v>14</v>
      </c>
      <c r="B3588" t="s">
        <v>271</v>
      </c>
    </row>
    <row r="3589" spans="1:8" x14ac:dyDescent="0.2">
      <c r="A3589" t="s">
        <v>16</v>
      </c>
      <c r="B3589" t="s">
        <v>15</v>
      </c>
    </row>
    <row r="3590" spans="1:8" x14ac:dyDescent="0.2">
      <c r="A3590" t="s">
        <v>17</v>
      </c>
      <c r="B3590" t="s">
        <v>204</v>
      </c>
    </row>
    <row r="3591" spans="1:8" ht="16" x14ac:dyDescent="0.2">
      <c r="A3591" s="1" t="s">
        <v>18</v>
      </c>
    </row>
    <row r="3592" spans="1:8" x14ac:dyDescent="0.2">
      <c r="A3592" t="s">
        <v>19</v>
      </c>
      <c r="B3592" t="s">
        <v>20</v>
      </c>
      <c r="C3592" t="s">
        <v>5</v>
      </c>
      <c r="D3592" t="s">
        <v>10</v>
      </c>
      <c r="E3592" t="s">
        <v>22</v>
      </c>
      <c r="F3592" t="s">
        <v>8</v>
      </c>
      <c r="G3592" t="s">
        <v>7</v>
      </c>
      <c r="H3592" t="s">
        <v>23</v>
      </c>
    </row>
    <row r="3593" spans="1:8" x14ac:dyDescent="0.2">
      <c r="A3593" t="s">
        <v>61</v>
      </c>
      <c r="B3593">
        <v>37.282608695652179</v>
      </c>
      <c r="C3593" t="s">
        <v>33</v>
      </c>
      <c r="D3593" t="s">
        <v>27</v>
      </c>
      <c r="E3593" t="s">
        <v>15</v>
      </c>
      <c r="F3593" t="s">
        <v>28</v>
      </c>
      <c r="G3593" t="s">
        <v>61</v>
      </c>
      <c r="H3593" t="s">
        <v>62</v>
      </c>
    </row>
    <row r="3594" spans="1:8" x14ac:dyDescent="0.2">
      <c r="A3594" t="s">
        <v>272</v>
      </c>
      <c r="B3594">
        <v>700</v>
      </c>
      <c r="C3594" t="s">
        <v>33</v>
      </c>
      <c r="D3594" t="s">
        <v>27</v>
      </c>
      <c r="E3594" t="s">
        <v>15</v>
      </c>
      <c r="F3594" t="s">
        <v>28</v>
      </c>
      <c r="G3594" t="s">
        <v>273</v>
      </c>
      <c r="H3594" t="s">
        <v>62</v>
      </c>
    </row>
    <row r="3595" spans="1:8" x14ac:dyDescent="0.2">
      <c r="A3595" t="s">
        <v>274</v>
      </c>
      <c r="B3595">
        <v>197.218887569853</v>
      </c>
      <c r="C3595" t="s">
        <v>33</v>
      </c>
      <c r="D3595" t="s">
        <v>27</v>
      </c>
      <c r="E3595" t="s">
        <v>15</v>
      </c>
      <c r="F3595" t="s">
        <v>28</v>
      </c>
      <c r="G3595" t="s">
        <v>500</v>
      </c>
      <c r="H3595" t="s">
        <v>275</v>
      </c>
    </row>
    <row r="3596" spans="1:8" x14ac:dyDescent="0.2">
      <c r="A3596" t="s">
        <v>60</v>
      </c>
      <c r="B3596">
        <v>28.533333333333331</v>
      </c>
      <c r="C3596" t="s">
        <v>26</v>
      </c>
      <c r="D3596" t="s">
        <v>27</v>
      </c>
      <c r="E3596" t="s">
        <v>15</v>
      </c>
      <c r="F3596" t="s">
        <v>28</v>
      </c>
      <c r="G3596" t="s">
        <v>54</v>
      </c>
      <c r="H3596" t="s">
        <v>34</v>
      </c>
    </row>
    <row r="3597" spans="1:8" x14ac:dyDescent="0.2">
      <c r="A3597" t="s">
        <v>276</v>
      </c>
      <c r="B3597">
        <v>-691.25072463768117</v>
      </c>
      <c r="C3597" t="s">
        <v>33</v>
      </c>
      <c r="D3597" t="s">
        <v>27</v>
      </c>
      <c r="E3597" t="s">
        <v>15</v>
      </c>
      <c r="F3597" t="s">
        <v>28</v>
      </c>
      <c r="G3597" t="s">
        <v>277</v>
      </c>
      <c r="H3597" t="s">
        <v>25</v>
      </c>
    </row>
    <row r="3598" spans="1:8" x14ac:dyDescent="0.2">
      <c r="A3598" t="s">
        <v>501</v>
      </c>
      <c r="B3598">
        <v>-197.218887569853</v>
      </c>
      <c r="C3598" t="s">
        <v>33</v>
      </c>
      <c r="D3598" t="s">
        <v>27</v>
      </c>
      <c r="E3598" t="s">
        <v>15</v>
      </c>
      <c r="F3598" t="s">
        <v>28</v>
      </c>
      <c r="G3598" t="s">
        <v>502</v>
      </c>
      <c r="H3598" t="s">
        <v>25</v>
      </c>
    </row>
    <row r="3599" spans="1:8" x14ac:dyDescent="0.2">
      <c r="A3599" t="s">
        <v>384</v>
      </c>
      <c r="B3599">
        <v>1</v>
      </c>
      <c r="C3599" t="s">
        <v>26</v>
      </c>
      <c r="D3599" t="s">
        <v>10</v>
      </c>
      <c r="E3599" t="s">
        <v>15</v>
      </c>
      <c r="F3599" t="s">
        <v>24</v>
      </c>
      <c r="G3599" t="s">
        <v>71</v>
      </c>
      <c r="H3599" t="s">
        <v>25</v>
      </c>
    </row>
    <row r="3601" spans="1:8" ht="16" x14ac:dyDescent="0.2">
      <c r="A3601" s="1" t="s">
        <v>4</v>
      </c>
      <c r="B3601" s="1" t="s">
        <v>328</v>
      </c>
    </row>
    <row r="3602" spans="1:8" x14ac:dyDescent="0.2">
      <c r="A3602" t="s">
        <v>5</v>
      </c>
      <c r="B3602" t="s">
        <v>26</v>
      </c>
    </row>
    <row r="3603" spans="1:8" x14ac:dyDescent="0.2">
      <c r="A3603" t="s">
        <v>6</v>
      </c>
      <c r="B3603">
        <v>1</v>
      </c>
    </row>
    <row r="3604" spans="1:8" x14ac:dyDescent="0.2">
      <c r="A3604" t="s">
        <v>7</v>
      </c>
      <c r="B3604" t="s">
        <v>73</v>
      </c>
    </row>
    <row r="3605" spans="1:8" x14ac:dyDescent="0.2">
      <c r="A3605" t="s">
        <v>8</v>
      </c>
      <c r="B3605" t="s">
        <v>9</v>
      </c>
    </row>
    <row r="3606" spans="1:8" x14ac:dyDescent="0.2">
      <c r="A3606" t="s">
        <v>10</v>
      </c>
      <c r="B3606" t="s">
        <v>10</v>
      </c>
    </row>
    <row r="3607" spans="1:8" x14ac:dyDescent="0.2">
      <c r="A3607" t="s">
        <v>11</v>
      </c>
      <c r="B3607" t="s">
        <v>12</v>
      </c>
    </row>
    <row r="3608" spans="1:8" x14ac:dyDescent="0.2">
      <c r="A3608" t="s">
        <v>13</v>
      </c>
      <c r="B3608" t="s">
        <v>291</v>
      </c>
    </row>
    <row r="3609" spans="1:8" x14ac:dyDescent="0.2">
      <c r="A3609" t="s">
        <v>14</v>
      </c>
      <c r="B3609" t="s">
        <v>271</v>
      </c>
    </row>
    <row r="3610" spans="1:8" x14ac:dyDescent="0.2">
      <c r="A3610" t="s">
        <v>16</v>
      </c>
      <c r="B3610" t="s">
        <v>15</v>
      </c>
    </row>
    <row r="3611" spans="1:8" x14ac:dyDescent="0.2">
      <c r="A3611" t="s">
        <v>17</v>
      </c>
      <c r="B3611" t="s">
        <v>205</v>
      </c>
    </row>
    <row r="3612" spans="1:8" ht="16" x14ac:dyDescent="0.2">
      <c r="A3612" s="1" t="s">
        <v>18</v>
      </c>
    </row>
    <row r="3613" spans="1:8" x14ac:dyDescent="0.2">
      <c r="A3613" t="s">
        <v>19</v>
      </c>
      <c r="B3613" t="s">
        <v>20</v>
      </c>
      <c r="C3613" t="s">
        <v>5</v>
      </c>
      <c r="D3613" t="s">
        <v>10</v>
      </c>
      <c r="E3613" t="s">
        <v>22</v>
      </c>
      <c r="F3613" t="s">
        <v>8</v>
      </c>
      <c r="G3613" t="s">
        <v>7</v>
      </c>
      <c r="H3613" t="s">
        <v>23</v>
      </c>
    </row>
    <row r="3614" spans="1:8" x14ac:dyDescent="0.2">
      <c r="A3614" t="s">
        <v>61</v>
      </c>
      <c r="B3614">
        <v>39.565217391304351</v>
      </c>
      <c r="C3614" t="s">
        <v>33</v>
      </c>
      <c r="D3614" t="s">
        <v>27</v>
      </c>
      <c r="E3614" t="s">
        <v>15</v>
      </c>
      <c r="F3614" t="s">
        <v>28</v>
      </c>
      <c r="G3614" t="s">
        <v>61</v>
      </c>
      <c r="H3614" t="s">
        <v>62</v>
      </c>
    </row>
    <row r="3615" spans="1:8" x14ac:dyDescent="0.2">
      <c r="A3615" t="s">
        <v>272</v>
      </c>
      <c r="B3615">
        <v>700</v>
      </c>
      <c r="C3615" t="s">
        <v>33</v>
      </c>
      <c r="D3615" t="s">
        <v>27</v>
      </c>
      <c r="E3615" t="s">
        <v>15</v>
      </c>
      <c r="F3615" t="s">
        <v>28</v>
      </c>
      <c r="G3615" t="s">
        <v>273</v>
      </c>
      <c r="H3615" t="s">
        <v>62</v>
      </c>
    </row>
    <row r="3616" spans="1:8" x14ac:dyDescent="0.2">
      <c r="A3616" t="s">
        <v>274</v>
      </c>
      <c r="B3616">
        <v>195.8946125509465</v>
      </c>
      <c r="C3616" t="s">
        <v>33</v>
      </c>
      <c r="D3616" t="s">
        <v>27</v>
      </c>
      <c r="E3616" t="s">
        <v>15</v>
      </c>
      <c r="F3616" t="s">
        <v>28</v>
      </c>
      <c r="G3616" t="s">
        <v>500</v>
      </c>
      <c r="H3616" t="s">
        <v>275</v>
      </c>
    </row>
    <row r="3617" spans="1:8" x14ac:dyDescent="0.2">
      <c r="A3617" t="s">
        <v>60</v>
      </c>
      <c r="B3617">
        <v>30.316666666666659</v>
      </c>
      <c r="C3617" t="s">
        <v>26</v>
      </c>
      <c r="D3617" t="s">
        <v>27</v>
      </c>
      <c r="E3617" t="s">
        <v>15</v>
      </c>
      <c r="F3617" t="s">
        <v>28</v>
      </c>
      <c r="G3617" t="s">
        <v>54</v>
      </c>
      <c r="H3617" t="s">
        <v>34</v>
      </c>
    </row>
    <row r="3618" spans="1:8" x14ac:dyDescent="0.2">
      <c r="A3618" t="s">
        <v>276</v>
      </c>
      <c r="B3618">
        <v>-690.75144927536235</v>
      </c>
      <c r="C3618" t="s">
        <v>33</v>
      </c>
      <c r="D3618" t="s">
        <v>27</v>
      </c>
      <c r="E3618" t="s">
        <v>15</v>
      </c>
      <c r="F3618" t="s">
        <v>28</v>
      </c>
      <c r="G3618" t="s">
        <v>277</v>
      </c>
      <c r="H3618" t="s">
        <v>25</v>
      </c>
    </row>
    <row r="3619" spans="1:8" x14ac:dyDescent="0.2">
      <c r="A3619" t="s">
        <v>501</v>
      </c>
      <c r="B3619">
        <v>-195.8946125509465</v>
      </c>
      <c r="C3619" t="s">
        <v>33</v>
      </c>
      <c r="D3619" t="s">
        <v>27</v>
      </c>
      <c r="E3619" t="s">
        <v>15</v>
      </c>
      <c r="F3619" t="s">
        <v>28</v>
      </c>
      <c r="G3619" t="s">
        <v>502</v>
      </c>
      <c r="H3619" t="s">
        <v>25</v>
      </c>
    </row>
    <row r="3620" spans="1:8" x14ac:dyDescent="0.2">
      <c r="A3620" t="s">
        <v>328</v>
      </c>
      <c r="B3620">
        <v>1</v>
      </c>
      <c r="C3620" t="s">
        <v>26</v>
      </c>
      <c r="D3620" t="s">
        <v>10</v>
      </c>
      <c r="E3620" t="s">
        <v>15</v>
      </c>
      <c r="F3620" t="s">
        <v>24</v>
      </c>
      <c r="G3620" t="s">
        <v>73</v>
      </c>
      <c r="H3620" t="s">
        <v>25</v>
      </c>
    </row>
    <row r="3623" spans="1:8" ht="16" x14ac:dyDescent="0.2">
      <c r="A3623" s="1" t="s">
        <v>4</v>
      </c>
      <c r="B3623" s="1" t="s">
        <v>469</v>
      </c>
    </row>
    <row r="3624" spans="1:8" x14ac:dyDescent="0.2">
      <c r="A3624" t="s">
        <v>5</v>
      </c>
      <c r="B3624" t="s">
        <v>26</v>
      </c>
    </row>
    <row r="3625" spans="1:8" x14ac:dyDescent="0.2">
      <c r="A3625" t="s">
        <v>6</v>
      </c>
      <c r="B3625">
        <v>1</v>
      </c>
    </row>
    <row r="3626" spans="1:8" x14ac:dyDescent="0.2">
      <c r="A3626" t="s">
        <v>7</v>
      </c>
      <c r="B3626" t="s">
        <v>65</v>
      </c>
    </row>
    <row r="3627" spans="1:8" x14ac:dyDescent="0.2">
      <c r="A3627" t="s">
        <v>8</v>
      </c>
      <c r="B3627" t="s">
        <v>9</v>
      </c>
    </row>
    <row r="3628" spans="1:8" x14ac:dyDescent="0.2">
      <c r="A3628" t="s">
        <v>10</v>
      </c>
      <c r="B3628" t="s">
        <v>10</v>
      </c>
    </row>
    <row r="3629" spans="1:8" x14ac:dyDescent="0.2">
      <c r="A3629" t="s">
        <v>11</v>
      </c>
      <c r="B3629" t="s">
        <v>12</v>
      </c>
    </row>
    <row r="3630" spans="1:8" x14ac:dyDescent="0.2">
      <c r="A3630" t="s">
        <v>13</v>
      </c>
      <c r="B3630" t="s">
        <v>291</v>
      </c>
    </row>
    <row r="3631" spans="1:8" x14ac:dyDescent="0.2">
      <c r="A3631" t="s">
        <v>14</v>
      </c>
      <c r="B3631" t="s">
        <v>271</v>
      </c>
    </row>
    <row r="3632" spans="1:8" x14ac:dyDescent="0.2">
      <c r="A3632" t="s">
        <v>16</v>
      </c>
      <c r="B3632" t="s">
        <v>15</v>
      </c>
    </row>
    <row r="3633" spans="1:8" x14ac:dyDescent="0.2">
      <c r="A3633" t="s">
        <v>17</v>
      </c>
      <c r="B3633" t="s">
        <v>206</v>
      </c>
    </row>
    <row r="3634" spans="1:8" ht="16" x14ac:dyDescent="0.2">
      <c r="A3634" s="1" t="s">
        <v>18</v>
      </c>
    </row>
    <row r="3635" spans="1:8" x14ac:dyDescent="0.2">
      <c r="A3635" t="s">
        <v>19</v>
      </c>
      <c r="B3635" t="s">
        <v>20</v>
      </c>
      <c r="C3635" t="s">
        <v>5</v>
      </c>
      <c r="D3635" t="s">
        <v>10</v>
      </c>
      <c r="E3635" t="s">
        <v>22</v>
      </c>
      <c r="F3635" t="s">
        <v>8</v>
      </c>
      <c r="G3635" t="s">
        <v>7</v>
      </c>
      <c r="H3635" t="s">
        <v>23</v>
      </c>
    </row>
    <row r="3636" spans="1:8" x14ac:dyDescent="0.2">
      <c r="A3636" t="s">
        <v>486</v>
      </c>
      <c r="B3636">
        <v>77.416666666666657</v>
      </c>
      <c r="C3636" t="s">
        <v>26</v>
      </c>
      <c r="D3636" t="s">
        <v>27</v>
      </c>
      <c r="E3636" t="s">
        <v>15</v>
      </c>
      <c r="F3636" t="s">
        <v>28</v>
      </c>
      <c r="G3636" t="s">
        <v>487</v>
      </c>
      <c r="H3636" t="s">
        <v>25</v>
      </c>
    </row>
    <row r="3637" spans="1:8" x14ac:dyDescent="0.2">
      <c r="A3637" t="s">
        <v>61</v>
      </c>
      <c r="B3637">
        <v>35</v>
      </c>
      <c r="C3637" t="s">
        <v>33</v>
      </c>
      <c r="D3637" t="s">
        <v>27</v>
      </c>
      <c r="E3637" t="s">
        <v>15</v>
      </c>
      <c r="F3637" t="s">
        <v>28</v>
      </c>
      <c r="G3637" t="s">
        <v>61</v>
      </c>
      <c r="H3637" t="s">
        <v>62</v>
      </c>
    </row>
    <row r="3638" spans="1:8" x14ac:dyDescent="0.2">
      <c r="A3638" t="s">
        <v>272</v>
      </c>
      <c r="B3638">
        <v>700</v>
      </c>
      <c r="C3638" t="s">
        <v>33</v>
      </c>
      <c r="D3638" t="s">
        <v>27</v>
      </c>
      <c r="E3638" t="s">
        <v>15</v>
      </c>
      <c r="F3638" t="s">
        <v>28</v>
      </c>
      <c r="G3638" t="s">
        <v>273</v>
      </c>
      <c r="H3638" t="s">
        <v>62</v>
      </c>
    </row>
    <row r="3639" spans="1:8" x14ac:dyDescent="0.2">
      <c r="A3639" t="s">
        <v>274</v>
      </c>
      <c r="B3639">
        <v>185.89802378906251</v>
      </c>
      <c r="C3639" t="s">
        <v>33</v>
      </c>
      <c r="D3639" t="s">
        <v>27</v>
      </c>
      <c r="E3639" t="s">
        <v>15</v>
      </c>
      <c r="F3639" t="s">
        <v>28</v>
      </c>
      <c r="G3639" t="s">
        <v>500</v>
      </c>
      <c r="H3639" t="s">
        <v>275</v>
      </c>
    </row>
    <row r="3640" spans="1:8" x14ac:dyDescent="0.2">
      <c r="A3640" t="s">
        <v>276</v>
      </c>
      <c r="B3640">
        <v>-742.41666666666663</v>
      </c>
      <c r="C3640" t="s">
        <v>33</v>
      </c>
      <c r="D3640" t="s">
        <v>27</v>
      </c>
      <c r="E3640" t="s">
        <v>15</v>
      </c>
      <c r="F3640" t="s">
        <v>28</v>
      </c>
      <c r="G3640" t="s">
        <v>277</v>
      </c>
      <c r="H3640" t="s">
        <v>25</v>
      </c>
    </row>
    <row r="3641" spans="1:8" x14ac:dyDescent="0.2">
      <c r="A3641" t="s">
        <v>501</v>
      </c>
      <c r="B3641">
        <v>-185.89802378906251</v>
      </c>
      <c r="C3641" t="s">
        <v>33</v>
      </c>
      <c r="D3641" t="s">
        <v>27</v>
      </c>
      <c r="E3641" t="s">
        <v>15</v>
      </c>
      <c r="F3641" t="s">
        <v>28</v>
      </c>
      <c r="G3641" t="s">
        <v>502</v>
      </c>
      <c r="H3641" t="s">
        <v>25</v>
      </c>
    </row>
    <row r="3642" spans="1:8" x14ac:dyDescent="0.2">
      <c r="A3642" t="s">
        <v>469</v>
      </c>
      <c r="B3642">
        <v>1</v>
      </c>
      <c r="C3642" t="s">
        <v>26</v>
      </c>
      <c r="D3642" t="s">
        <v>10</v>
      </c>
      <c r="E3642" t="s">
        <v>15</v>
      </c>
      <c r="F3642" t="s">
        <v>24</v>
      </c>
      <c r="G3642" t="s">
        <v>65</v>
      </c>
      <c r="H3642" t="s">
        <v>25</v>
      </c>
    </row>
    <row r="3644" spans="1:8" ht="16" x14ac:dyDescent="0.2">
      <c r="A3644" s="1" t="s">
        <v>4</v>
      </c>
      <c r="B3644" s="1" t="s">
        <v>445</v>
      </c>
    </row>
    <row r="3645" spans="1:8" x14ac:dyDescent="0.2">
      <c r="A3645" t="s">
        <v>5</v>
      </c>
      <c r="B3645" t="s">
        <v>26</v>
      </c>
    </row>
    <row r="3646" spans="1:8" x14ac:dyDescent="0.2">
      <c r="A3646" t="s">
        <v>6</v>
      </c>
      <c r="B3646">
        <v>1</v>
      </c>
    </row>
    <row r="3647" spans="1:8" x14ac:dyDescent="0.2">
      <c r="A3647" t="s">
        <v>7</v>
      </c>
      <c r="B3647" t="s">
        <v>67</v>
      </c>
    </row>
    <row r="3648" spans="1:8" x14ac:dyDescent="0.2">
      <c r="A3648" t="s">
        <v>8</v>
      </c>
      <c r="B3648" t="s">
        <v>9</v>
      </c>
    </row>
    <row r="3649" spans="1:8" x14ac:dyDescent="0.2">
      <c r="A3649" t="s">
        <v>10</v>
      </c>
      <c r="B3649" t="s">
        <v>10</v>
      </c>
    </row>
    <row r="3650" spans="1:8" x14ac:dyDescent="0.2">
      <c r="A3650" t="s">
        <v>11</v>
      </c>
      <c r="B3650" t="s">
        <v>12</v>
      </c>
    </row>
    <row r="3651" spans="1:8" x14ac:dyDescent="0.2">
      <c r="A3651" t="s">
        <v>13</v>
      </c>
      <c r="B3651" t="s">
        <v>291</v>
      </c>
    </row>
    <row r="3652" spans="1:8" x14ac:dyDescent="0.2">
      <c r="A3652" t="s">
        <v>14</v>
      </c>
      <c r="B3652" t="s">
        <v>271</v>
      </c>
    </row>
    <row r="3653" spans="1:8" x14ac:dyDescent="0.2">
      <c r="A3653" t="s">
        <v>16</v>
      </c>
      <c r="B3653" t="s">
        <v>15</v>
      </c>
    </row>
    <row r="3654" spans="1:8" x14ac:dyDescent="0.2">
      <c r="A3654" t="s">
        <v>17</v>
      </c>
      <c r="B3654" t="s">
        <v>207</v>
      </c>
    </row>
    <row r="3655" spans="1:8" ht="16" x14ac:dyDescent="0.2">
      <c r="A3655" s="1" t="s">
        <v>18</v>
      </c>
    </row>
    <row r="3656" spans="1:8" x14ac:dyDescent="0.2">
      <c r="A3656" t="s">
        <v>19</v>
      </c>
      <c r="B3656" t="s">
        <v>20</v>
      </c>
      <c r="C3656" t="s">
        <v>5</v>
      </c>
      <c r="D3656" t="s">
        <v>10</v>
      </c>
      <c r="E3656" t="s">
        <v>22</v>
      </c>
      <c r="F3656" t="s">
        <v>8</v>
      </c>
      <c r="G3656" t="s">
        <v>7</v>
      </c>
      <c r="H3656" t="s">
        <v>23</v>
      </c>
    </row>
    <row r="3657" spans="1:8" x14ac:dyDescent="0.2">
      <c r="A3657" t="s">
        <v>486</v>
      </c>
      <c r="B3657">
        <v>72.791666666666657</v>
      </c>
      <c r="C3657" t="s">
        <v>26</v>
      </c>
      <c r="D3657" t="s">
        <v>27</v>
      </c>
      <c r="E3657" t="s">
        <v>15</v>
      </c>
      <c r="F3657" t="s">
        <v>28</v>
      </c>
      <c r="G3657" t="s">
        <v>487</v>
      </c>
      <c r="H3657" t="s">
        <v>25</v>
      </c>
    </row>
    <row r="3658" spans="1:8" x14ac:dyDescent="0.2">
      <c r="A3658" t="s">
        <v>61</v>
      </c>
      <c r="B3658">
        <v>35</v>
      </c>
      <c r="C3658" t="s">
        <v>33</v>
      </c>
      <c r="D3658" t="s">
        <v>27</v>
      </c>
      <c r="E3658" t="s">
        <v>15</v>
      </c>
      <c r="F3658" t="s">
        <v>28</v>
      </c>
      <c r="G3658" t="s">
        <v>61</v>
      </c>
      <c r="H3658" t="s">
        <v>62</v>
      </c>
    </row>
    <row r="3659" spans="1:8" x14ac:dyDescent="0.2">
      <c r="A3659" t="s">
        <v>272</v>
      </c>
      <c r="B3659">
        <v>700</v>
      </c>
      <c r="C3659" t="s">
        <v>33</v>
      </c>
      <c r="D3659" t="s">
        <v>27</v>
      </c>
      <c r="E3659" t="s">
        <v>15</v>
      </c>
      <c r="F3659" t="s">
        <v>28</v>
      </c>
      <c r="G3659" t="s">
        <v>273</v>
      </c>
      <c r="H3659" t="s">
        <v>62</v>
      </c>
    </row>
    <row r="3660" spans="1:8" x14ac:dyDescent="0.2">
      <c r="A3660" t="s">
        <v>274</v>
      </c>
      <c r="B3660">
        <v>185.40141432128911</v>
      </c>
      <c r="C3660" t="s">
        <v>33</v>
      </c>
      <c r="D3660" t="s">
        <v>27</v>
      </c>
      <c r="E3660" t="s">
        <v>15</v>
      </c>
      <c r="F3660" t="s">
        <v>28</v>
      </c>
      <c r="G3660" t="s">
        <v>500</v>
      </c>
      <c r="H3660" t="s">
        <v>275</v>
      </c>
    </row>
    <row r="3661" spans="1:8" x14ac:dyDescent="0.2">
      <c r="A3661" t="s">
        <v>276</v>
      </c>
      <c r="B3661">
        <v>-737.79166666666663</v>
      </c>
      <c r="C3661" t="s">
        <v>33</v>
      </c>
      <c r="D3661" t="s">
        <v>27</v>
      </c>
      <c r="E3661" t="s">
        <v>15</v>
      </c>
      <c r="F3661" t="s">
        <v>28</v>
      </c>
      <c r="G3661" t="s">
        <v>277</v>
      </c>
      <c r="H3661" t="s">
        <v>25</v>
      </c>
    </row>
    <row r="3662" spans="1:8" x14ac:dyDescent="0.2">
      <c r="A3662" t="s">
        <v>501</v>
      </c>
      <c r="B3662">
        <v>-185.40141432128911</v>
      </c>
      <c r="C3662" t="s">
        <v>33</v>
      </c>
      <c r="D3662" t="s">
        <v>27</v>
      </c>
      <c r="E3662" t="s">
        <v>15</v>
      </c>
      <c r="F3662" t="s">
        <v>28</v>
      </c>
      <c r="G3662" t="s">
        <v>502</v>
      </c>
      <c r="H3662" t="s">
        <v>25</v>
      </c>
    </row>
    <row r="3663" spans="1:8" x14ac:dyDescent="0.2">
      <c r="A3663" t="s">
        <v>445</v>
      </c>
      <c r="B3663">
        <v>1</v>
      </c>
      <c r="C3663" t="s">
        <v>26</v>
      </c>
      <c r="D3663" t="s">
        <v>10</v>
      </c>
      <c r="E3663" t="s">
        <v>15</v>
      </c>
      <c r="F3663" t="s">
        <v>24</v>
      </c>
      <c r="G3663" t="s">
        <v>67</v>
      </c>
      <c r="H3663" t="s">
        <v>25</v>
      </c>
    </row>
    <row r="3665" spans="1:8" ht="16" x14ac:dyDescent="0.2">
      <c r="A3665" s="1" t="s">
        <v>4</v>
      </c>
      <c r="B3665" s="1" t="s">
        <v>421</v>
      </c>
    </row>
    <row r="3666" spans="1:8" x14ac:dyDescent="0.2">
      <c r="A3666" t="s">
        <v>5</v>
      </c>
      <c r="B3666" t="s">
        <v>26</v>
      </c>
    </row>
    <row r="3667" spans="1:8" x14ac:dyDescent="0.2">
      <c r="A3667" t="s">
        <v>6</v>
      </c>
      <c r="B3667">
        <v>1</v>
      </c>
    </row>
    <row r="3668" spans="1:8" x14ac:dyDescent="0.2">
      <c r="A3668" t="s">
        <v>7</v>
      </c>
      <c r="B3668" t="s">
        <v>69</v>
      </c>
    </row>
    <row r="3669" spans="1:8" x14ac:dyDescent="0.2">
      <c r="A3669" t="s">
        <v>8</v>
      </c>
      <c r="B3669" t="s">
        <v>9</v>
      </c>
    </row>
    <row r="3670" spans="1:8" x14ac:dyDescent="0.2">
      <c r="A3670" t="s">
        <v>10</v>
      </c>
      <c r="B3670" t="s">
        <v>10</v>
      </c>
    </row>
    <row r="3671" spans="1:8" x14ac:dyDescent="0.2">
      <c r="A3671" t="s">
        <v>11</v>
      </c>
      <c r="B3671" t="s">
        <v>12</v>
      </c>
    </row>
    <row r="3672" spans="1:8" x14ac:dyDescent="0.2">
      <c r="A3672" t="s">
        <v>13</v>
      </c>
      <c r="B3672" t="s">
        <v>291</v>
      </c>
    </row>
    <row r="3673" spans="1:8" x14ac:dyDescent="0.2">
      <c r="A3673" t="s">
        <v>14</v>
      </c>
      <c r="B3673" t="s">
        <v>271</v>
      </c>
    </row>
    <row r="3674" spans="1:8" x14ac:dyDescent="0.2">
      <c r="A3674" t="s">
        <v>16</v>
      </c>
      <c r="B3674" t="s">
        <v>15</v>
      </c>
    </row>
    <row r="3675" spans="1:8" x14ac:dyDescent="0.2">
      <c r="A3675" t="s">
        <v>17</v>
      </c>
      <c r="B3675" t="s">
        <v>208</v>
      </c>
    </row>
    <row r="3676" spans="1:8" ht="16" x14ac:dyDescent="0.2">
      <c r="A3676" s="1" t="s">
        <v>18</v>
      </c>
    </row>
    <row r="3677" spans="1:8" x14ac:dyDescent="0.2">
      <c r="A3677" t="s">
        <v>19</v>
      </c>
      <c r="B3677" t="s">
        <v>20</v>
      </c>
      <c r="C3677" t="s">
        <v>5</v>
      </c>
      <c r="D3677" t="s">
        <v>10</v>
      </c>
      <c r="E3677" t="s">
        <v>22</v>
      </c>
      <c r="F3677" t="s">
        <v>8</v>
      </c>
      <c r="G3677" t="s">
        <v>7</v>
      </c>
      <c r="H3677" t="s">
        <v>23</v>
      </c>
    </row>
    <row r="3678" spans="1:8" x14ac:dyDescent="0.2">
      <c r="A3678" t="s">
        <v>486</v>
      </c>
      <c r="B3678">
        <v>68.166666666666657</v>
      </c>
      <c r="C3678" t="s">
        <v>26</v>
      </c>
      <c r="D3678" t="s">
        <v>27</v>
      </c>
      <c r="E3678" t="s">
        <v>15</v>
      </c>
      <c r="F3678" t="s">
        <v>28</v>
      </c>
      <c r="G3678" t="s">
        <v>487</v>
      </c>
      <c r="H3678" t="s">
        <v>25</v>
      </c>
    </row>
    <row r="3679" spans="1:8" x14ac:dyDescent="0.2">
      <c r="A3679" t="s">
        <v>61</v>
      </c>
      <c r="B3679">
        <v>35</v>
      </c>
      <c r="C3679" t="s">
        <v>33</v>
      </c>
      <c r="D3679" t="s">
        <v>27</v>
      </c>
      <c r="E3679" t="s">
        <v>15</v>
      </c>
      <c r="F3679" t="s">
        <v>28</v>
      </c>
      <c r="G3679" t="s">
        <v>61</v>
      </c>
      <c r="H3679" t="s">
        <v>62</v>
      </c>
    </row>
    <row r="3680" spans="1:8" x14ac:dyDescent="0.2">
      <c r="A3680" t="s">
        <v>272</v>
      </c>
      <c r="B3680">
        <v>700</v>
      </c>
      <c r="C3680" t="s">
        <v>33</v>
      </c>
      <c r="D3680" t="s">
        <v>27</v>
      </c>
      <c r="E3680" t="s">
        <v>15</v>
      </c>
      <c r="F3680" t="s">
        <v>28</v>
      </c>
      <c r="G3680" t="s">
        <v>273</v>
      </c>
      <c r="H3680" t="s">
        <v>62</v>
      </c>
    </row>
    <row r="3681" spans="1:8" x14ac:dyDescent="0.2">
      <c r="A3681" t="s">
        <v>274</v>
      </c>
      <c r="B3681">
        <v>184.9048048535156</v>
      </c>
      <c r="C3681" t="s">
        <v>33</v>
      </c>
      <c r="D3681" t="s">
        <v>27</v>
      </c>
      <c r="E3681" t="s">
        <v>15</v>
      </c>
      <c r="F3681" t="s">
        <v>28</v>
      </c>
      <c r="G3681" t="s">
        <v>500</v>
      </c>
      <c r="H3681" t="s">
        <v>275</v>
      </c>
    </row>
    <row r="3682" spans="1:8" x14ac:dyDescent="0.2">
      <c r="A3682" t="s">
        <v>276</v>
      </c>
      <c r="B3682">
        <v>-733.16666666666663</v>
      </c>
      <c r="C3682" t="s">
        <v>33</v>
      </c>
      <c r="D3682" t="s">
        <v>27</v>
      </c>
      <c r="E3682" t="s">
        <v>15</v>
      </c>
      <c r="F3682" t="s">
        <v>28</v>
      </c>
      <c r="G3682" t="s">
        <v>277</v>
      </c>
      <c r="H3682" t="s">
        <v>25</v>
      </c>
    </row>
    <row r="3683" spans="1:8" x14ac:dyDescent="0.2">
      <c r="A3683" t="s">
        <v>501</v>
      </c>
      <c r="B3683">
        <v>-184.9048048535156</v>
      </c>
      <c r="C3683" t="s">
        <v>33</v>
      </c>
      <c r="D3683" t="s">
        <v>27</v>
      </c>
      <c r="E3683" t="s">
        <v>15</v>
      </c>
      <c r="F3683" t="s">
        <v>28</v>
      </c>
      <c r="G3683" t="s">
        <v>502</v>
      </c>
      <c r="H3683" t="s">
        <v>25</v>
      </c>
    </row>
    <row r="3684" spans="1:8" x14ac:dyDescent="0.2">
      <c r="A3684" t="s">
        <v>421</v>
      </c>
      <c r="B3684">
        <v>1</v>
      </c>
      <c r="C3684" t="s">
        <v>26</v>
      </c>
      <c r="D3684" t="s">
        <v>10</v>
      </c>
      <c r="E3684" t="s">
        <v>15</v>
      </c>
      <c r="F3684" t="s">
        <v>24</v>
      </c>
      <c r="G3684" t="s">
        <v>69</v>
      </c>
      <c r="H3684" t="s">
        <v>25</v>
      </c>
    </row>
    <row r="3686" spans="1:8" ht="16" x14ac:dyDescent="0.2">
      <c r="A3686" s="1" t="s">
        <v>4</v>
      </c>
      <c r="B3686" s="1" t="s">
        <v>385</v>
      </c>
    </row>
    <row r="3687" spans="1:8" x14ac:dyDescent="0.2">
      <c r="A3687" t="s">
        <v>5</v>
      </c>
      <c r="B3687" t="s">
        <v>26</v>
      </c>
    </row>
    <row r="3688" spans="1:8" x14ac:dyDescent="0.2">
      <c r="A3688" t="s">
        <v>6</v>
      </c>
      <c r="B3688">
        <v>1</v>
      </c>
    </row>
    <row r="3689" spans="1:8" x14ac:dyDescent="0.2">
      <c r="A3689" t="s">
        <v>7</v>
      </c>
      <c r="B3689" t="s">
        <v>71</v>
      </c>
    </row>
    <row r="3690" spans="1:8" x14ac:dyDescent="0.2">
      <c r="A3690" t="s">
        <v>8</v>
      </c>
      <c r="B3690" t="s">
        <v>9</v>
      </c>
    </row>
    <row r="3691" spans="1:8" x14ac:dyDescent="0.2">
      <c r="A3691" t="s">
        <v>10</v>
      </c>
      <c r="B3691" t="s">
        <v>10</v>
      </c>
    </row>
    <row r="3692" spans="1:8" x14ac:dyDescent="0.2">
      <c r="A3692" t="s">
        <v>11</v>
      </c>
      <c r="B3692" t="s">
        <v>12</v>
      </c>
    </row>
    <row r="3693" spans="1:8" x14ac:dyDescent="0.2">
      <c r="A3693" t="s">
        <v>13</v>
      </c>
      <c r="B3693" t="s">
        <v>291</v>
      </c>
    </row>
    <row r="3694" spans="1:8" x14ac:dyDescent="0.2">
      <c r="A3694" t="s">
        <v>14</v>
      </c>
      <c r="B3694" t="s">
        <v>271</v>
      </c>
    </row>
    <row r="3695" spans="1:8" x14ac:dyDescent="0.2">
      <c r="A3695" t="s">
        <v>16</v>
      </c>
      <c r="B3695" t="s">
        <v>15</v>
      </c>
    </row>
    <row r="3696" spans="1:8" x14ac:dyDescent="0.2">
      <c r="A3696" t="s">
        <v>17</v>
      </c>
      <c r="B3696" t="s">
        <v>209</v>
      </c>
    </row>
    <row r="3697" spans="1:8" ht="16" x14ac:dyDescent="0.2">
      <c r="A3697" s="1" t="s">
        <v>18</v>
      </c>
    </row>
    <row r="3698" spans="1:8" x14ac:dyDescent="0.2">
      <c r="A3698" t="s">
        <v>19</v>
      </c>
      <c r="B3698" t="s">
        <v>20</v>
      </c>
      <c r="C3698" t="s">
        <v>5</v>
      </c>
      <c r="D3698" t="s">
        <v>10</v>
      </c>
      <c r="E3698" t="s">
        <v>22</v>
      </c>
      <c r="F3698" t="s">
        <v>8</v>
      </c>
      <c r="G3698" t="s">
        <v>7</v>
      </c>
      <c r="H3698" t="s">
        <v>23</v>
      </c>
    </row>
    <row r="3699" spans="1:8" x14ac:dyDescent="0.2">
      <c r="A3699" t="s">
        <v>486</v>
      </c>
      <c r="B3699">
        <v>65.619565217391312</v>
      </c>
      <c r="C3699" t="s">
        <v>26</v>
      </c>
      <c r="D3699" t="s">
        <v>27</v>
      </c>
      <c r="E3699" t="s">
        <v>15</v>
      </c>
      <c r="F3699" t="s">
        <v>28</v>
      </c>
      <c r="G3699" t="s">
        <v>487</v>
      </c>
      <c r="H3699" t="s">
        <v>25</v>
      </c>
    </row>
    <row r="3700" spans="1:8" x14ac:dyDescent="0.2">
      <c r="A3700" t="s">
        <v>61</v>
      </c>
      <c r="B3700">
        <v>37.282608695652179</v>
      </c>
      <c r="C3700" t="s">
        <v>33</v>
      </c>
      <c r="D3700" t="s">
        <v>27</v>
      </c>
      <c r="E3700" t="s">
        <v>15</v>
      </c>
      <c r="F3700" t="s">
        <v>28</v>
      </c>
      <c r="G3700" t="s">
        <v>61</v>
      </c>
      <c r="H3700" t="s">
        <v>62</v>
      </c>
    </row>
    <row r="3701" spans="1:8" x14ac:dyDescent="0.2">
      <c r="A3701" t="s">
        <v>272</v>
      </c>
      <c r="B3701">
        <v>700</v>
      </c>
      <c r="C3701" t="s">
        <v>33</v>
      </c>
      <c r="D3701" t="s">
        <v>27</v>
      </c>
      <c r="E3701" t="s">
        <v>15</v>
      </c>
      <c r="F3701" t="s">
        <v>28</v>
      </c>
      <c r="G3701" t="s">
        <v>273</v>
      </c>
      <c r="H3701" t="s">
        <v>62</v>
      </c>
    </row>
    <row r="3702" spans="1:8" x14ac:dyDescent="0.2">
      <c r="A3702" t="s">
        <v>274</v>
      </c>
      <c r="B3702">
        <v>182.99757654508531</v>
      </c>
      <c r="C3702" t="s">
        <v>33</v>
      </c>
      <c r="D3702" t="s">
        <v>27</v>
      </c>
      <c r="E3702" t="s">
        <v>15</v>
      </c>
      <c r="F3702" t="s">
        <v>28</v>
      </c>
      <c r="G3702" t="s">
        <v>500</v>
      </c>
      <c r="H3702" t="s">
        <v>275</v>
      </c>
    </row>
    <row r="3703" spans="1:8" x14ac:dyDescent="0.2">
      <c r="A3703" t="s">
        <v>276</v>
      </c>
      <c r="B3703">
        <v>-728.33695652173924</v>
      </c>
      <c r="C3703" t="s">
        <v>33</v>
      </c>
      <c r="D3703" t="s">
        <v>27</v>
      </c>
      <c r="E3703" t="s">
        <v>15</v>
      </c>
      <c r="F3703" t="s">
        <v>28</v>
      </c>
      <c r="G3703" t="s">
        <v>277</v>
      </c>
      <c r="H3703" t="s">
        <v>25</v>
      </c>
    </row>
    <row r="3704" spans="1:8" x14ac:dyDescent="0.2">
      <c r="A3704" t="s">
        <v>501</v>
      </c>
      <c r="B3704">
        <v>-182.99757654508531</v>
      </c>
      <c r="C3704" t="s">
        <v>33</v>
      </c>
      <c r="D3704" t="s">
        <v>27</v>
      </c>
      <c r="E3704" t="s">
        <v>15</v>
      </c>
      <c r="F3704" t="s">
        <v>28</v>
      </c>
      <c r="G3704" t="s">
        <v>502</v>
      </c>
      <c r="H3704" t="s">
        <v>25</v>
      </c>
    </row>
    <row r="3705" spans="1:8" x14ac:dyDescent="0.2">
      <c r="A3705" t="s">
        <v>385</v>
      </c>
      <c r="B3705">
        <v>1</v>
      </c>
      <c r="C3705" t="s">
        <v>26</v>
      </c>
      <c r="D3705" t="s">
        <v>10</v>
      </c>
      <c r="E3705" t="s">
        <v>15</v>
      </c>
      <c r="F3705" t="s">
        <v>24</v>
      </c>
      <c r="G3705" t="s">
        <v>71</v>
      </c>
      <c r="H3705" t="s">
        <v>25</v>
      </c>
    </row>
    <row r="3707" spans="1:8" ht="16" x14ac:dyDescent="0.2">
      <c r="A3707" s="1" t="s">
        <v>4</v>
      </c>
      <c r="B3707" s="1" t="s">
        <v>329</v>
      </c>
    </row>
    <row r="3708" spans="1:8" x14ac:dyDescent="0.2">
      <c r="A3708" t="s">
        <v>5</v>
      </c>
      <c r="B3708" t="s">
        <v>26</v>
      </c>
    </row>
    <row r="3709" spans="1:8" x14ac:dyDescent="0.2">
      <c r="A3709" t="s">
        <v>6</v>
      </c>
      <c r="B3709">
        <v>1</v>
      </c>
    </row>
    <row r="3710" spans="1:8" x14ac:dyDescent="0.2">
      <c r="A3710" t="s">
        <v>7</v>
      </c>
      <c r="B3710" t="s">
        <v>73</v>
      </c>
    </row>
    <row r="3711" spans="1:8" x14ac:dyDescent="0.2">
      <c r="A3711" t="s">
        <v>8</v>
      </c>
      <c r="B3711" t="s">
        <v>9</v>
      </c>
    </row>
    <row r="3712" spans="1:8" x14ac:dyDescent="0.2">
      <c r="A3712" t="s">
        <v>10</v>
      </c>
      <c r="B3712" t="s">
        <v>10</v>
      </c>
    </row>
    <row r="3713" spans="1:8" x14ac:dyDescent="0.2">
      <c r="A3713" t="s">
        <v>11</v>
      </c>
      <c r="B3713" t="s">
        <v>12</v>
      </c>
    </row>
    <row r="3714" spans="1:8" x14ac:dyDescent="0.2">
      <c r="A3714" t="s">
        <v>13</v>
      </c>
      <c r="B3714" t="s">
        <v>291</v>
      </c>
    </row>
    <row r="3715" spans="1:8" x14ac:dyDescent="0.2">
      <c r="A3715" t="s">
        <v>14</v>
      </c>
      <c r="B3715" t="s">
        <v>271</v>
      </c>
    </row>
    <row r="3716" spans="1:8" x14ac:dyDescent="0.2">
      <c r="A3716" t="s">
        <v>16</v>
      </c>
      <c r="B3716" t="s">
        <v>15</v>
      </c>
    </row>
    <row r="3717" spans="1:8" x14ac:dyDescent="0.2">
      <c r="A3717" t="s">
        <v>17</v>
      </c>
      <c r="B3717" t="s">
        <v>210</v>
      </c>
    </row>
    <row r="3718" spans="1:8" ht="16" x14ac:dyDescent="0.2">
      <c r="A3718" s="1" t="s">
        <v>18</v>
      </c>
    </row>
    <row r="3719" spans="1:8" x14ac:dyDescent="0.2">
      <c r="A3719" t="s">
        <v>19</v>
      </c>
      <c r="B3719" t="s">
        <v>20</v>
      </c>
      <c r="C3719" t="s">
        <v>5</v>
      </c>
      <c r="D3719" t="s">
        <v>10</v>
      </c>
      <c r="E3719" t="s">
        <v>22</v>
      </c>
      <c r="F3719" t="s">
        <v>8</v>
      </c>
      <c r="G3719" t="s">
        <v>7</v>
      </c>
      <c r="H3719" t="s">
        <v>23</v>
      </c>
    </row>
    <row r="3720" spans="1:8" x14ac:dyDescent="0.2">
      <c r="A3720" t="s">
        <v>486</v>
      </c>
      <c r="B3720">
        <v>63.072463768115938</v>
      </c>
      <c r="C3720" t="s">
        <v>26</v>
      </c>
      <c r="D3720" t="s">
        <v>27</v>
      </c>
      <c r="E3720" t="s">
        <v>15</v>
      </c>
      <c r="F3720" t="s">
        <v>28</v>
      </c>
      <c r="G3720" t="s">
        <v>487</v>
      </c>
      <c r="H3720" t="s">
        <v>25</v>
      </c>
    </row>
    <row r="3721" spans="1:8" x14ac:dyDescent="0.2">
      <c r="A3721" t="s">
        <v>61</v>
      </c>
      <c r="B3721">
        <v>39.565217391304351</v>
      </c>
      <c r="C3721" t="s">
        <v>33</v>
      </c>
      <c r="D3721" t="s">
        <v>27</v>
      </c>
      <c r="E3721" t="s">
        <v>15</v>
      </c>
      <c r="F3721" t="s">
        <v>28</v>
      </c>
      <c r="G3721" t="s">
        <v>61</v>
      </c>
      <c r="H3721" t="s">
        <v>62</v>
      </c>
    </row>
    <row r="3722" spans="1:8" x14ac:dyDescent="0.2">
      <c r="A3722" t="s">
        <v>272</v>
      </c>
      <c r="B3722">
        <v>700</v>
      </c>
      <c r="C3722" t="s">
        <v>33</v>
      </c>
      <c r="D3722" t="s">
        <v>27</v>
      </c>
      <c r="E3722" t="s">
        <v>15</v>
      </c>
      <c r="F3722" t="s">
        <v>28</v>
      </c>
      <c r="G3722" t="s">
        <v>273</v>
      </c>
      <c r="H3722" t="s">
        <v>62</v>
      </c>
    </row>
    <row r="3723" spans="1:8" x14ac:dyDescent="0.2">
      <c r="A3723" t="s">
        <v>274</v>
      </c>
      <c r="B3723">
        <v>181.09674077795091</v>
      </c>
      <c r="C3723" t="s">
        <v>33</v>
      </c>
      <c r="D3723" t="s">
        <v>27</v>
      </c>
      <c r="E3723" t="s">
        <v>15</v>
      </c>
      <c r="F3723" t="s">
        <v>28</v>
      </c>
      <c r="G3723" t="s">
        <v>500</v>
      </c>
      <c r="H3723" t="s">
        <v>275</v>
      </c>
    </row>
    <row r="3724" spans="1:8" x14ac:dyDescent="0.2">
      <c r="A3724" t="s">
        <v>276</v>
      </c>
      <c r="B3724">
        <v>-723.50724637681151</v>
      </c>
      <c r="C3724" t="s">
        <v>33</v>
      </c>
      <c r="D3724" t="s">
        <v>27</v>
      </c>
      <c r="E3724" t="s">
        <v>15</v>
      </c>
      <c r="F3724" t="s">
        <v>28</v>
      </c>
      <c r="G3724" t="s">
        <v>277</v>
      </c>
      <c r="H3724" t="s">
        <v>25</v>
      </c>
    </row>
    <row r="3725" spans="1:8" x14ac:dyDescent="0.2">
      <c r="A3725" t="s">
        <v>501</v>
      </c>
      <c r="B3725">
        <v>-181.09674077795091</v>
      </c>
      <c r="C3725" t="s">
        <v>33</v>
      </c>
      <c r="D3725" t="s">
        <v>27</v>
      </c>
      <c r="E3725" t="s">
        <v>15</v>
      </c>
      <c r="F3725" t="s">
        <v>28</v>
      </c>
      <c r="G3725" t="s">
        <v>502</v>
      </c>
      <c r="H3725" t="s">
        <v>25</v>
      </c>
    </row>
    <row r="3726" spans="1:8" x14ac:dyDescent="0.2">
      <c r="A3726" t="s">
        <v>329</v>
      </c>
      <c r="B3726">
        <v>1</v>
      </c>
      <c r="C3726" t="s">
        <v>26</v>
      </c>
      <c r="D3726" t="s">
        <v>10</v>
      </c>
      <c r="E3726" t="s">
        <v>15</v>
      </c>
      <c r="F3726" t="s">
        <v>24</v>
      </c>
      <c r="G3726" t="s">
        <v>73</v>
      </c>
      <c r="H3726" t="s">
        <v>25</v>
      </c>
    </row>
    <row r="3729" spans="1:8" ht="16" x14ac:dyDescent="0.2">
      <c r="A3729" s="1" t="s">
        <v>4</v>
      </c>
      <c r="B3729" s="1" t="s">
        <v>386</v>
      </c>
    </row>
    <row r="3730" spans="1:8" x14ac:dyDescent="0.2">
      <c r="A3730" t="s">
        <v>5</v>
      </c>
      <c r="B3730" t="s">
        <v>26</v>
      </c>
    </row>
    <row r="3731" spans="1:8" x14ac:dyDescent="0.2">
      <c r="A3731" t="s">
        <v>6</v>
      </c>
      <c r="B3731">
        <v>1</v>
      </c>
    </row>
    <row r="3732" spans="1:8" x14ac:dyDescent="0.2">
      <c r="A3732" t="s">
        <v>7</v>
      </c>
      <c r="B3732" t="s">
        <v>71</v>
      </c>
    </row>
    <row r="3733" spans="1:8" x14ac:dyDescent="0.2">
      <c r="A3733" t="s">
        <v>8</v>
      </c>
      <c r="B3733" t="s">
        <v>9</v>
      </c>
    </row>
    <row r="3734" spans="1:8" x14ac:dyDescent="0.2">
      <c r="A3734" t="s">
        <v>10</v>
      </c>
      <c r="B3734" t="s">
        <v>10</v>
      </c>
    </row>
    <row r="3735" spans="1:8" x14ac:dyDescent="0.2">
      <c r="A3735" t="s">
        <v>11</v>
      </c>
      <c r="B3735" t="s">
        <v>12</v>
      </c>
    </row>
    <row r="3736" spans="1:8" x14ac:dyDescent="0.2">
      <c r="A3736" t="s">
        <v>13</v>
      </c>
      <c r="B3736" t="s">
        <v>291</v>
      </c>
    </row>
    <row r="3737" spans="1:8" x14ac:dyDescent="0.2">
      <c r="A3737" t="s">
        <v>14</v>
      </c>
      <c r="B3737" t="s">
        <v>271</v>
      </c>
    </row>
    <row r="3738" spans="1:8" x14ac:dyDescent="0.2">
      <c r="A3738" t="s">
        <v>16</v>
      </c>
      <c r="B3738" t="s">
        <v>15</v>
      </c>
    </row>
    <row r="3739" spans="1:8" x14ac:dyDescent="0.2">
      <c r="A3739" t="s">
        <v>17</v>
      </c>
      <c r="B3739" t="s">
        <v>211</v>
      </c>
    </row>
    <row r="3740" spans="1:8" ht="16" x14ac:dyDescent="0.2">
      <c r="A3740" s="1" t="s">
        <v>18</v>
      </c>
    </row>
    <row r="3741" spans="1:8" x14ac:dyDescent="0.2">
      <c r="A3741" t="s">
        <v>19</v>
      </c>
      <c r="B3741" t="s">
        <v>20</v>
      </c>
      <c r="C3741" t="s">
        <v>5</v>
      </c>
      <c r="D3741" t="s">
        <v>10</v>
      </c>
      <c r="E3741" t="s">
        <v>22</v>
      </c>
      <c r="F3741" t="s">
        <v>8</v>
      </c>
      <c r="G3741" t="s">
        <v>7</v>
      </c>
      <c r="H3741" t="s">
        <v>23</v>
      </c>
    </row>
    <row r="3742" spans="1:8" x14ac:dyDescent="0.2">
      <c r="A3742" t="s">
        <v>610</v>
      </c>
      <c r="B3742">
        <f>24.4</f>
        <v>24.4</v>
      </c>
      <c r="C3742" t="s">
        <v>33</v>
      </c>
      <c r="D3742" t="s">
        <v>39</v>
      </c>
      <c r="F3742" t="s">
        <v>28</v>
      </c>
      <c r="G3742" t="s">
        <v>611</v>
      </c>
      <c r="H3742" t="s">
        <v>34</v>
      </c>
    </row>
    <row r="3743" spans="1:8" x14ac:dyDescent="0.2">
      <c r="A3743" t="s">
        <v>61</v>
      </c>
      <c r="B3743">
        <v>39.932229573074672</v>
      </c>
      <c r="C3743" t="s">
        <v>33</v>
      </c>
      <c r="D3743" t="s">
        <v>27</v>
      </c>
      <c r="E3743" t="s">
        <v>15</v>
      </c>
      <c r="F3743" t="s">
        <v>28</v>
      </c>
      <c r="G3743" t="s">
        <v>61</v>
      </c>
      <c r="H3743" t="s">
        <v>62</v>
      </c>
    </row>
    <row r="3744" spans="1:8" x14ac:dyDescent="0.2">
      <c r="A3744" t="s">
        <v>283</v>
      </c>
      <c r="B3744">
        <v>5.9804347826086959</v>
      </c>
      <c r="C3744" t="s">
        <v>33</v>
      </c>
      <c r="D3744" t="s">
        <v>27</v>
      </c>
      <c r="E3744" t="s">
        <v>15</v>
      </c>
      <c r="F3744" t="s">
        <v>28</v>
      </c>
      <c r="G3744" t="s">
        <v>284</v>
      </c>
      <c r="H3744" t="s">
        <v>34</v>
      </c>
    </row>
    <row r="3745" spans="1:8" x14ac:dyDescent="0.2">
      <c r="A3745" t="s">
        <v>285</v>
      </c>
      <c r="B3745">
        <v>4.4853260869565217</v>
      </c>
      <c r="C3745" t="s">
        <v>33</v>
      </c>
      <c r="D3745" t="s">
        <v>27</v>
      </c>
      <c r="E3745" t="s">
        <v>15</v>
      </c>
      <c r="F3745" t="s">
        <v>28</v>
      </c>
      <c r="G3745" t="s">
        <v>286</v>
      </c>
      <c r="H3745" t="s">
        <v>34</v>
      </c>
    </row>
    <row r="3746" spans="1:8" x14ac:dyDescent="0.2">
      <c r="A3746" t="s">
        <v>278</v>
      </c>
      <c r="B3746">
        <v>24.21673619098549</v>
      </c>
      <c r="C3746" t="s">
        <v>33</v>
      </c>
      <c r="D3746" t="s">
        <v>27</v>
      </c>
      <c r="E3746" t="s">
        <v>15</v>
      </c>
      <c r="F3746" t="s">
        <v>28</v>
      </c>
      <c r="G3746" t="s">
        <v>279</v>
      </c>
      <c r="H3746" t="s">
        <v>275</v>
      </c>
    </row>
    <row r="3747" spans="1:8" x14ac:dyDescent="0.2">
      <c r="A3747" t="s">
        <v>272</v>
      </c>
      <c r="B3747">
        <v>749.7479838209938</v>
      </c>
      <c r="C3747" t="s">
        <v>33</v>
      </c>
      <c r="D3747" t="s">
        <v>27</v>
      </c>
      <c r="E3747" t="s">
        <v>15</v>
      </c>
      <c r="F3747" t="s">
        <v>28</v>
      </c>
      <c r="G3747" t="s">
        <v>273</v>
      </c>
      <c r="H3747" t="s">
        <v>62</v>
      </c>
    </row>
    <row r="3748" spans="1:8" x14ac:dyDescent="0.2">
      <c r="A3748" t="s">
        <v>274</v>
      </c>
      <c r="B3748">
        <v>216.45428514017789</v>
      </c>
      <c r="C3748" t="s">
        <v>33</v>
      </c>
      <c r="D3748" t="s">
        <v>27</v>
      </c>
      <c r="E3748" t="s">
        <v>15</v>
      </c>
      <c r="F3748" t="s">
        <v>28</v>
      </c>
      <c r="G3748" t="s">
        <v>500</v>
      </c>
      <c r="H3748" t="s">
        <v>275</v>
      </c>
    </row>
    <row r="3749" spans="1:8" x14ac:dyDescent="0.2">
      <c r="A3749" t="s">
        <v>287</v>
      </c>
      <c r="B3749">
        <v>8.9706521739130434</v>
      </c>
      <c r="C3749" t="s">
        <v>33</v>
      </c>
      <c r="D3749" t="s">
        <v>27</v>
      </c>
      <c r="E3749" t="s">
        <v>15</v>
      </c>
      <c r="F3749" t="s">
        <v>28</v>
      </c>
      <c r="G3749" t="s">
        <v>288</v>
      </c>
      <c r="H3749" t="s">
        <v>34</v>
      </c>
    </row>
    <row r="3750" spans="1:8" x14ac:dyDescent="0.2">
      <c r="A3750" t="s">
        <v>289</v>
      </c>
      <c r="B3750">
        <v>3.9869565217391298</v>
      </c>
      <c r="C3750" t="s">
        <v>33</v>
      </c>
      <c r="D3750" t="s">
        <v>27</v>
      </c>
      <c r="E3750" t="s">
        <v>15</v>
      </c>
      <c r="F3750" t="s">
        <v>28</v>
      </c>
      <c r="G3750" t="s">
        <v>290</v>
      </c>
      <c r="H3750" t="s">
        <v>34</v>
      </c>
    </row>
    <row r="3751" spans="1:8" x14ac:dyDescent="0.2">
      <c r="A3751" t="s">
        <v>280</v>
      </c>
      <c r="B3751">
        <v>-47.640105756202878</v>
      </c>
      <c r="C3751" t="s">
        <v>33</v>
      </c>
      <c r="D3751" t="s">
        <v>27</v>
      </c>
      <c r="E3751" t="s">
        <v>15</v>
      </c>
      <c r="F3751" t="s">
        <v>28</v>
      </c>
      <c r="G3751" t="s">
        <v>281</v>
      </c>
      <c r="H3751" t="s">
        <v>282</v>
      </c>
    </row>
    <row r="3752" spans="1:8" x14ac:dyDescent="0.2">
      <c r="A3752" t="s">
        <v>60</v>
      </c>
      <c r="B3752">
        <v>25.61666666666666</v>
      </c>
      <c r="C3752" t="s">
        <v>26</v>
      </c>
      <c r="D3752" t="s">
        <v>27</v>
      </c>
      <c r="E3752" t="s">
        <v>15</v>
      </c>
      <c r="F3752" t="s">
        <v>28</v>
      </c>
      <c r="G3752" t="s">
        <v>54</v>
      </c>
      <c r="H3752" t="s">
        <v>34</v>
      </c>
    </row>
    <row r="3753" spans="1:8" x14ac:dyDescent="0.2">
      <c r="A3753" t="s">
        <v>276</v>
      </c>
      <c r="B3753">
        <v>-735.4324209145858</v>
      </c>
      <c r="C3753" t="s">
        <v>33</v>
      </c>
      <c r="D3753" t="s">
        <v>27</v>
      </c>
      <c r="E3753" t="s">
        <v>15</v>
      </c>
      <c r="F3753" t="s">
        <v>28</v>
      </c>
      <c r="G3753" t="s">
        <v>277</v>
      </c>
      <c r="H3753" t="s">
        <v>25</v>
      </c>
    </row>
    <row r="3754" spans="1:8" x14ac:dyDescent="0.2">
      <c r="A3754" t="s">
        <v>501</v>
      </c>
      <c r="B3754">
        <v>-216.45428514017789</v>
      </c>
      <c r="C3754" t="s">
        <v>33</v>
      </c>
      <c r="D3754" t="s">
        <v>27</v>
      </c>
      <c r="E3754" t="s">
        <v>15</v>
      </c>
      <c r="F3754" t="s">
        <v>28</v>
      </c>
      <c r="G3754" t="s">
        <v>502</v>
      </c>
      <c r="H3754" t="s">
        <v>25</v>
      </c>
    </row>
    <row r="3755" spans="1:8" x14ac:dyDescent="0.2">
      <c r="A3755" t="s">
        <v>56</v>
      </c>
      <c r="B3755">
        <v>146.53042507274549</v>
      </c>
      <c r="C3755" t="s">
        <v>63</v>
      </c>
      <c r="D3755" t="s">
        <v>39</v>
      </c>
      <c r="E3755" t="s">
        <v>15</v>
      </c>
      <c r="F3755" t="s">
        <v>28</v>
      </c>
      <c r="G3755" t="s">
        <v>58</v>
      </c>
      <c r="H3755" t="s">
        <v>34</v>
      </c>
    </row>
    <row r="3756" spans="1:8" x14ac:dyDescent="0.2">
      <c r="A3756" t="s">
        <v>386</v>
      </c>
      <c r="B3756">
        <v>1</v>
      </c>
      <c r="C3756" t="s">
        <v>26</v>
      </c>
      <c r="D3756" t="s">
        <v>10</v>
      </c>
      <c r="E3756" t="s">
        <v>15</v>
      </c>
      <c r="F3756" t="s">
        <v>24</v>
      </c>
      <c r="G3756" t="s">
        <v>71</v>
      </c>
      <c r="H3756" t="s">
        <v>25</v>
      </c>
    </row>
    <row r="3758" spans="1:8" ht="16" x14ac:dyDescent="0.2">
      <c r="A3758" s="1" t="s">
        <v>4</v>
      </c>
      <c r="B3758" s="1" t="s">
        <v>330</v>
      </c>
    </row>
    <row r="3759" spans="1:8" x14ac:dyDescent="0.2">
      <c r="A3759" t="s">
        <v>5</v>
      </c>
      <c r="B3759" t="s">
        <v>26</v>
      </c>
    </row>
    <row r="3760" spans="1:8" x14ac:dyDescent="0.2">
      <c r="A3760" t="s">
        <v>6</v>
      </c>
      <c r="B3760">
        <v>1</v>
      </c>
    </row>
    <row r="3761" spans="1:8" x14ac:dyDescent="0.2">
      <c r="A3761" t="s">
        <v>7</v>
      </c>
      <c r="B3761" t="s">
        <v>73</v>
      </c>
    </row>
    <row r="3762" spans="1:8" x14ac:dyDescent="0.2">
      <c r="A3762" t="s">
        <v>8</v>
      </c>
      <c r="B3762" t="s">
        <v>9</v>
      </c>
    </row>
    <row r="3763" spans="1:8" x14ac:dyDescent="0.2">
      <c r="A3763" t="s">
        <v>10</v>
      </c>
      <c r="B3763" t="s">
        <v>10</v>
      </c>
    </row>
    <row r="3764" spans="1:8" x14ac:dyDescent="0.2">
      <c r="A3764" t="s">
        <v>11</v>
      </c>
      <c r="B3764" t="s">
        <v>12</v>
      </c>
    </row>
    <row r="3765" spans="1:8" x14ac:dyDescent="0.2">
      <c r="A3765" t="s">
        <v>13</v>
      </c>
      <c r="B3765" t="s">
        <v>291</v>
      </c>
    </row>
    <row r="3766" spans="1:8" x14ac:dyDescent="0.2">
      <c r="A3766" t="s">
        <v>14</v>
      </c>
      <c r="B3766" t="s">
        <v>271</v>
      </c>
    </row>
    <row r="3767" spans="1:8" x14ac:dyDescent="0.2">
      <c r="A3767" t="s">
        <v>16</v>
      </c>
      <c r="B3767" t="s">
        <v>15</v>
      </c>
    </row>
    <row r="3768" spans="1:8" x14ac:dyDescent="0.2">
      <c r="A3768" t="s">
        <v>17</v>
      </c>
      <c r="B3768" t="s">
        <v>212</v>
      </c>
    </row>
    <row r="3769" spans="1:8" ht="16" x14ac:dyDescent="0.2">
      <c r="A3769" s="1" t="s">
        <v>18</v>
      </c>
    </row>
    <row r="3770" spans="1:8" x14ac:dyDescent="0.2">
      <c r="A3770" t="s">
        <v>19</v>
      </c>
      <c r="B3770" t="s">
        <v>20</v>
      </c>
      <c r="C3770" t="s">
        <v>5</v>
      </c>
      <c r="D3770" t="s">
        <v>10</v>
      </c>
      <c r="E3770" t="s">
        <v>22</v>
      </c>
      <c r="F3770" t="s">
        <v>8</v>
      </c>
      <c r="G3770" t="s">
        <v>7</v>
      </c>
      <c r="H3770" t="s">
        <v>23</v>
      </c>
    </row>
    <row r="3771" spans="1:8" x14ac:dyDescent="0.2">
      <c r="A3771" t="s">
        <v>610</v>
      </c>
      <c r="B3771">
        <f>31.9</f>
        <v>31.9</v>
      </c>
      <c r="C3771" t="s">
        <v>33</v>
      </c>
      <c r="D3771" t="s">
        <v>39</v>
      </c>
      <c r="F3771" t="s">
        <v>28</v>
      </c>
      <c r="G3771" t="s">
        <v>611</v>
      </c>
      <c r="H3771" t="s">
        <v>34</v>
      </c>
    </row>
    <row r="3772" spans="1:8" x14ac:dyDescent="0.2">
      <c r="A3772" t="s">
        <v>61</v>
      </c>
      <c r="B3772">
        <v>43.237225488391623</v>
      </c>
      <c r="C3772" t="s">
        <v>33</v>
      </c>
      <c r="D3772" t="s">
        <v>27</v>
      </c>
      <c r="E3772" t="s">
        <v>15</v>
      </c>
      <c r="F3772" t="s">
        <v>28</v>
      </c>
      <c r="G3772" t="s">
        <v>61</v>
      </c>
      <c r="H3772" t="s">
        <v>62</v>
      </c>
    </row>
    <row r="3773" spans="1:8" x14ac:dyDescent="0.2">
      <c r="A3773" t="s">
        <v>283</v>
      </c>
      <c r="B3773">
        <v>5.9608695652173918</v>
      </c>
      <c r="C3773" t="s">
        <v>33</v>
      </c>
      <c r="D3773" t="s">
        <v>27</v>
      </c>
      <c r="E3773" t="s">
        <v>15</v>
      </c>
      <c r="F3773" t="s">
        <v>28</v>
      </c>
      <c r="G3773" t="s">
        <v>284</v>
      </c>
      <c r="H3773" t="s">
        <v>34</v>
      </c>
    </row>
    <row r="3774" spans="1:8" x14ac:dyDescent="0.2">
      <c r="A3774" t="s">
        <v>285</v>
      </c>
      <c r="B3774">
        <v>4.4706521739130434</v>
      </c>
      <c r="C3774" t="s">
        <v>33</v>
      </c>
      <c r="D3774" t="s">
        <v>27</v>
      </c>
      <c r="E3774" t="s">
        <v>15</v>
      </c>
      <c r="F3774" t="s">
        <v>28</v>
      </c>
      <c r="G3774" t="s">
        <v>286</v>
      </c>
      <c r="H3774" t="s">
        <v>34</v>
      </c>
    </row>
    <row r="3775" spans="1:8" x14ac:dyDescent="0.2">
      <c r="A3775" t="s">
        <v>278</v>
      </c>
      <c r="B3775">
        <v>31.313958852340711</v>
      </c>
      <c r="C3775" t="s">
        <v>33</v>
      </c>
      <c r="D3775" t="s">
        <v>27</v>
      </c>
      <c r="E3775" t="s">
        <v>15</v>
      </c>
      <c r="F3775" t="s">
        <v>28</v>
      </c>
      <c r="G3775" t="s">
        <v>279</v>
      </c>
      <c r="H3775" t="s">
        <v>275</v>
      </c>
    </row>
    <row r="3776" spans="1:8" x14ac:dyDescent="0.2">
      <c r="A3776" t="s">
        <v>272</v>
      </c>
      <c r="B3776">
        <v>764.96629710231309</v>
      </c>
      <c r="C3776" t="s">
        <v>33</v>
      </c>
      <c r="D3776" t="s">
        <v>27</v>
      </c>
      <c r="E3776" t="s">
        <v>15</v>
      </c>
      <c r="F3776" t="s">
        <v>28</v>
      </c>
      <c r="G3776" t="s">
        <v>273</v>
      </c>
      <c r="H3776" t="s">
        <v>62</v>
      </c>
    </row>
    <row r="3777" spans="1:8" x14ac:dyDescent="0.2">
      <c r="A3777" t="s">
        <v>274</v>
      </c>
      <c r="B3777">
        <v>207.90815817888651</v>
      </c>
      <c r="C3777" t="s">
        <v>33</v>
      </c>
      <c r="D3777" t="s">
        <v>27</v>
      </c>
      <c r="E3777" t="s">
        <v>15</v>
      </c>
      <c r="F3777" t="s">
        <v>28</v>
      </c>
      <c r="G3777" t="s">
        <v>500</v>
      </c>
      <c r="H3777" t="s">
        <v>275</v>
      </c>
    </row>
    <row r="3778" spans="1:8" x14ac:dyDescent="0.2">
      <c r="A3778" t="s">
        <v>287</v>
      </c>
      <c r="B3778">
        <v>8.9413043478260867</v>
      </c>
      <c r="C3778" t="s">
        <v>33</v>
      </c>
      <c r="D3778" t="s">
        <v>27</v>
      </c>
      <c r="E3778" t="s">
        <v>15</v>
      </c>
      <c r="F3778" t="s">
        <v>28</v>
      </c>
      <c r="G3778" t="s">
        <v>288</v>
      </c>
      <c r="H3778" t="s">
        <v>34</v>
      </c>
    </row>
    <row r="3779" spans="1:8" x14ac:dyDescent="0.2">
      <c r="A3779" t="s">
        <v>289</v>
      </c>
      <c r="B3779">
        <v>3.973913043478261</v>
      </c>
      <c r="C3779" t="s">
        <v>33</v>
      </c>
      <c r="D3779" t="s">
        <v>27</v>
      </c>
      <c r="E3779" t="s">
        <v>15</v>
      </c>
      <c r="F3779" t="s">
        <v>28</v>
      </c>
      <c r="G3779" t="s">
        <v>290</v>
      </c>
      <c r="H3779" t="s">
        <v>34</v>
      </c>
    </row>
    <row r="3780" spans="1:8" x14ac:dyDescent="0.2">
      <c r="A3780" t="s">
        <v>280</v>
      </c>
      <c r="B3780">
        <v>-54.660697982775503</v>
      </c>
      <c r="C3780" t="s">
        <v>33</v>
      </c>
      <c r="D3780" t="s">
        <v>27</v>
      </c>
      <c r="E3780" t="s">
        <v>15</v>
      </c>
      <c r="F3780" t="s">
        <v>28</v>
      </c>
      <c r="G3780" t="s">
        <v>281</v>
      </c>
      <c r="H3780" t="s">
        <v>282</v>
      </c>
    </row>
    <row r="3781" spans="1:8" x14ac:dyDescent="0.2">
      <c r="A3781" t="s">
        <v>60</v>
      </c>
      <c r="B3781">
        <v>30.033333333333331</v>
      </c>
      <c r="C3781" t="s">
        <v>26</v>
      </c>
      <c r="D3781" t="s">
        <v>27</v>
      </c>
      <c r="E3781" t="s">
        <v>15</v>
      </c>
      <c r="F3781" t="s">
        <v>28</v>
      </c>
      <c r="G3781" t="s">
        <v>54</v>
      </c>
      <c r="H3781" t="s">
        <v>34</v>
      </c>
    </row>
    <row r="3782" spans="1:8" x14ac:dyDescent="0.2">
      <c r="A3782" t="s">
        <v>276</v>
      </c>
      <c r="B3782">
        <v>-751.76240494725482</v>
      </c>
      <c r="C3782" t="s">
        <v>33</v>
      </c>
      <c r="D3782" t="s">
        <v>27</v>
      </c>
      <c r="E3782" t="s">
        <v>15</v>
      </c>
      <c r="F3782" t="s">
        <v>28</v>
      </c>
      <c r="G3782" t="s">
        <v>277</v>
      </c>
      <c r="H3782" t="s">
        <v>25</v>
      </c>
    </row>
    <row r="3783" spans="1:8" x14ac:dyDescent="0.2">
      <c r="A3783" t="s">
        <v>501</v>
      </c>
      <c r="B3783">
        <v>-207.90815817888651</v>
      </c>
      <c r="C3783" t="s">
        <v>33</v>
      </c>
      <c r="D3783" t="s">
        <v>27</v>
      </c>
      <c r="E3783" t="s">
        <v>15</v>
      </c>
      <c r="F3783" t="s">
        <v>28</v>
      </c>
      <c r="G3783" t="s">
        <v>502</v>
      </c>
      <c r="H3783" t="s">
        <v>25</v>
      </c>
    </row>
    <row r="3784" spans="1:8" x14ac:dyDescent="0.2">
      <c r="A3784" t="s">
        <v>56</v>
      </c>
      <c r="B3784">
        <v>127.5701834009058</v>
      </c>
      <c r="C3784" t="s">
        <v>63</v>
      </c>
      <c r="D3784" t="s">
        <v>39</v>
      </c>
      <c r="E3784" t="s">
        <v>15</v>
      </c>
      <c r="F3784" t="s">
        <v>28</v>
      </c>
      <c r="G3784" t="s">
        <v>58</v>
      </c>
      <c r="H3784" t="s">
        <v>34</v>
      </c>
    </row>
    <row r="3785" spans="1:8" x14ac:dyDescent="0.2">
      <c r="A3785" t="s">
        <v>330</v>
      </c>
      <c r="B3785">
        <v>1</v>
      </c>
      <c r="C3785" t="s">
        <v>26</v>
      </c>
      <c r="D3785" t="s">
        <v>10</v>
      </c>
      <c r="E3785" t="s">
        <v>15</v>
      </c>
      <c r="F3785" t="s">
        <v>24</v>
      </c>
      <c r="G3785" t="s">
        <v>73</v>
      </c>
      <c r="H3785" t="s">
        <v>25</v>
      </c>
    </row>
    <row r="3788" spans="1:8" ht="16" x14ac:dyDescent="0.2">
      <c r="A3788" s="1" t="s">
        <v>4</v>
      </c>
      <c r="B3788" s="1" t="s">
        <v>387</v>
      </c>
    </row>
    <row r="3789" spans="1:8" x14ac:dyDescent="0.2">
      <c r="A3789" t="s">
        <v>5</v>
      </c>
      <c r="B3789" t="s">
        <v>26</v>
      </c>
    </row>
    <row r="3790" spans="1:8" x14ac:dyDescent="0.2">
      <c r="A3790" t="s">
        <v>6</v>
      </c>
      <c r="B3790">
        <v>1</v>
      </c>
    </row>
    <row r="3791" spans="1:8" x14ac:dyDescent="0.2">
      <c r="A3791" t="s">
        <v>7</v>
      </c>
      <c r="B3791" t="s">
        <v>71</v>
      </c>
    </row>
    <row r="3792" spans="1:8" x14ac:dyDescent="0.2">
      <c r="A3792" t="s">
        <v>8</v>
      </c>
      <c r="B3792" t="s">
        <v>9</v>
      </c>
    </row>
    <row r="3793" spans="1:8" x14ac:dyDescent="0.2">
      <c r="A3793" t="s">
        <v>10</v>
      </c>
      <c r="B3793" t="s">
        <v>10</v>
      </c>
    </row>
    <row r="3794" spans="1:8" x14ac:dyDescent="0.2">
      <c r="A3794" t="s">
        <v>11</v>
      </c>
      <c r="B3794" t="s">
        <v>12</v>
      </c>
    </row>
    <row r="3795" spans="1:8" x14ac:dyDescent="0.2">
      <c r="A3795" t="s">
        <v>13</v>
      </c>
      <c r="B3795" t="s">
        <v>291</v>
      </c>
    </row>
    <row r="3796" spans="1:8" x14ac:dyDescent="0.2">
      <c r="A3796" t="s">
        <v>14</v>
      </c>
      <c r="B3796" t="s">
        <v>271</v>
      </c>
    </row>
    <row r="3797" spans="1:8" x14ac:dyDescent="0.2">
      <c r="A3797" t="s">
        <v>16</v>
      </c>
      <c r="B3797" t="s">
        <v>15</v>
      </c>
    </row>
    <row r="3798" spans="1:8" x14ac:dyDescent="0.2">
      <c r="A3798" t="s">
        <v>17</v>
      </c>
      <c r="B3798" t="s">
        <v>213</v>
      </c>
    </row>
    <row r="3799" spans="1:8" ht="16" x14ac:dyDescent="0.2">
      <c r="A3799" s="1" t="s">
        <v>18</v>
      </c>
    </row>
    <row r="3800" spans="1:8" x14ac:dyDescent="0.2">
      <c r="A3800" t="s">
        <v>19</v>
      </c>
      <c r="B3800" t="s">
        <v>20</v>
      </c>
      <c r="C3800" t="s">
        <v>5</v>
      </c>
      <c r="D3800" t="s">
        <v>10</v>
      </c>
      <c r="E3800" t="s">
        <v>22</v>
      </c>
      <c r="F3800" t="s">
        <v>8</v>
      </c>
      <c r="G3800" t="s">
        <v>7</v>
      </c>
      <c r="H3800" t="s">
        <v>23</v>
      </c>
    </row>
    <row r="3801" spans="1:8" x14ac:dyDescent="0.2">
      <c r="A3801" t="s">
        <v>610</v>
      </c>
      <c r="B3801">
        <f>24.4</f>
        <v>24.4</v>
      </c>
      <c r="C3801" t="s">
        <v>33</v>
      </c>
      <c r="D3801" t="s">
        <v>39</v>
      </c>
      <c r="F3801" t="s">
        <v>28</v>
      </c>
      <c r="G3801" t="s">
        <v>611</v>
      </c>
      <c r="H3801" t="s">
        <v>34</v>
      </c>
    </row>
    <row r="3802" spans="1:8" x14ac:dyDescent="0.2">
      <c r="A3802" t="s">
        <v>61</v>
      </c>
      <c r="B3802">
        <v>39.932229573074672</v>
      </c>
      <c r="C3802" t="s">
        <v>33</v>
      </c>
      <c r="D3802" t="s">
        <v>27</v>
      </c>
      <c r="E3802" t="s">
        <v>15</v>
      </c>
      <c r="F3802" t="s">
        <v>28</v>
      </c>
      <c r="G3802" t="s">
        <v>61</v>
      </c>
      <c r="H3802" t="s">
        <v>62</v>
      </c>
    </row>
    <row r="3803" spans="1:8" x14ac:dyDescent="0.2">
      <c r="A3803" t="s">
        <v>283</v>
      </c>
      <c r="B3803">
        <v>5.9804347826086959</v>
      </c>
      <c r="C3803" t="s">
        <v>33</v>
      </c>
      <c r="D3803" t="s">
        <v>27</v>
      </c>
      <c r="E3803" t="s">
        <v>15</v>
      </c>
      <c r="F3803" t="s">
        <v>28</v>
      </c>
      <c r="G3803" t="s">
        <v>284</v>
      </c>
      <c r="H3803" t="s">
        <v>34</v>
      </c>
    </row>
    <row r="3804" spans="1:8" x14ac:dyDescent="0.2">
      <c r="A3804" t="s">
        <v>285</v>
      </c>
      <c r="B3804">
        <v>4.4853260869565217</v>
      </c>
      <c r="C3804" t="s">
        <v>33</v>
      </c>
      <c r="D3804" t="s">
        <v>27</v>
      </c>
      <c r="E3804" t="s">
        <v>15</v>
      </c>
      <c r="F3804" t="s">
        <v>28</v>
      </c>
      <c r="G3804" t="s">
        <v>286</v>
      </c>
      <c r="H3804" t="s">
        <v>34</v>
      </c>
    </row>
    <row r="3805" spans="1:8" x14ac:dyDescent="0.2">
      <c r="A3805" t="s">
        <v>278</v>
      </c>
      <c r="B3805">
        <v>24.21673619098549</v>
      </c>
      <c r="C3805" t="s">
        <v>33</v>
      </c>
      <c r="D3805" t="s">
        <v>27</v>
      </c>
      <c r="E3805" t="s">
        <v>15</v>
      </c>
      <c r="F3805" t="s">
        <v>28</v>
      </c>
      <c r="G3805" t="s">
        <v>279</v>
      </c>
      <c r="H3805" t="s">
        <v>275</v>
      </c>
    </row>
    <row r="3806" spans="1:8" x14ac:dyDescent="0.2">
      <c r="A3806" t="s">
        <v>272</v>
      </c>
      <c r="B3806">
        <v>749.7479838209938</v>
      </c>
      <c r="C3806" t="s">
        <v>33</v>
      </c>
      <c r="D3806" t="s">
        <v>27</v>
      </c>
      <c r="E3806" t="s">
        <v>15</v>
      </c>
      <c r="F3806" t="s">
        <v>28</v>
      </c>
      <c r="G3806" t="s">
        <v>273</v>
      </c>
      <c r="H3806" t="s">
        <v>62</v>
      </c>
    </row>
    <row r="3807" spans="1:8" x14ac:dyDescent="0.2">
      <c r="A3807" t="s">
        <v>274</v>
      </c>
      <c r="B3807">
        <v>184.25516476630281</v>
      </c>
      <c r="C3807" t="s">
        <v>33</v>
      </c>
      <c r="D3807" t="s">
        <v>27</v>
      </c>
      <c r="E3807" t="s">
        <v>15</v>
      </c>
      <c r="F3807" t="s">
        <v>28</v>
      </c>
      <c r="G3807" t="s">
        <v>500</v>
      </c>
      <c r="H3807" t="s">
        <v>275</v>
      </c>
    </row>
    <row r="3808" spans="1:8" x14ac:dyDescent="0.2">
      <c r="A3808" t="s">
        <v>287</v>
      </c>
      <c r="B3808">
        <v>8.9706521739130434</v>
      </c>
      <c r="C3808" t="s">
        <v>33</v>
      </c>
      <c r="D3808" t="s">
        <v>27</v>
      </c>
      <c r="E3808" t="s">
        <v>15</v>
      </c>
      <c r="F3808" t="s">
        <v>28</v>
      </c>
      <c r="G3808" t="s">
        <v>288</v>
      </c>
      <c r="H3808" t="s">
        <v>34</v>
      </c>
    </row>
    <row r="3809" spans="1:8" x14ac:dyDescent="0.2">
      <c r="A3809" t="s">
        <v>289</v>
      </c>
      <c r="B3809">
        <v>3.9869565217391298</v>
      </c>
      <c r="C3809" t="s">
        <v>33</v>
      </c>
      <c r="D3809" t="s">
        <v>27</v>
      </c>
      <c r="E3809" t="s">
        <v>15</v>
      </c>
      <c r="F3809" t="s">
        <v>28</v>
      </c>
      <c r="G3809" t="s">
        <v>290</v>
      </c>
      <c r="H3809" t="s">
        <v>34</v>
      </c>
    </row>
    <row r="3810" spans="1:8" x14ac:dyDescent="0.2">
      <c r="A3810" t="s">
        <v>280</v>
      </c>
      <c r="B3810">
        <v>-47.640105756202878</v>
      </c>
      <c r="C3810" t="s">
        <v>33</v>
      </c>
      <c r="D3810" t="s">
        <v>27</v>
      </c>
      <c r="E3810" t="s">
        <v>15</v>
      </c>
      <c r="F3810" t="s">
        <v>28</v>
      </c>
      <c r="G3810" t="s">
        <v>281</v>
      </c>
      <c r="H3810" t="s">
        <v>282</v>
      </c>
    </row>
    <row r="3811" spans="1:8" x14ac:dyDescent="0.2">
      <c r="A3811" t="s">
        <v>60</v>
      </c>
      <c r="B3811">
        <v>25.858333333333331</v>
      </c>
      <c r="C3811" t="s">
        <v>26</v>
      </c>
      <c r="D3811" t="s">
        <v>27</v>
      </c>
      <c r="E3811" t="s">
        <v>15</v>
      </c>
      <c r="F3811" t="s">
        <v>28</v>
      </c>
      <c r="G3811" t="s">
        <v>54</v>
      </c>
      <c r="H3811" t="s">
        <v>34</v>
      </c>
    </row>
    <row r="3812" spans="1:8" x14ac:dyDescent="0.2">
      <c r="A3812" t="s">
        <v>276</v>
      </c>
      <c r="B3812">
        <v>-735.67408758125248</v>
      </c>
      <c r="C3812" t="s">
        <v>33</v>
      </c>
      <c r="D3812" t="s">
        <v>27</v>
      </c>
      <c r="E3812" t="s">
        <v>15</v>
      </c>
      <c r="F3812" t="s">
        <v>28</v>
      </c>
      <c r="G3812" t="s">
        <v>277</v>
      </c>
      <c r="H3812" t="s">
        <v>25</v>
      </c>
    </row>
    <row r="3813" spans="1:8" x14ac:dyDescent="0.2">
      <c r="A3813" t="s">
        <v>501</v>
      </c>
      <c r="B3813">
        <v>-184.25516476630281</v>
      </c>
      <c r="C3813" t="s">
        <v>33</v>
      </c>
      <c r="D3813" t="s">
        <v>27</v>
      </c>
      <c r="E3813" t="s">
        <v>15</v>
      </c>
      <c r="F3813" t="s">
        <v>28</v>
      </c>
      <c r="G3813" t="s">
        <v>502</v>
      </c>
      <c r="H3813" t="s">
        <v>25</v>
      </c>
    </row>
    <row r="3814" spans="1:8" x14ac:dyDescent="0.2">
      <c r="A3814" t="s">
        <v>56</v>
      </c>
      <c r="B3814">
        <v>146.53042507274549</v>
      </c>
      <c r="C3814" t="s">
        <v>63</v>
      </c>
      <c r="D3814" t="s">
        <v>39</v>
      </c>
      <c r="E3814" t="s">
        <v>15</v>
      </c>
      <c r="F3814" t="s">
        <v>28</v>
      </c>
      <c r="G3814" t="s">
        <v>58</v>
      </c>
      <c r="H3814" t="s">
        <v>34</v>
      </c>
    </row>
    <row r="3815" spans="1:8" x14ac:dyDescent="0.2">
      <c r="A3815" t="s">
        <v>387</v>
      </c>
      <c r="B3815">
        <v>1</v>
      </c>
      <c r="C3815" t="s">
        <v>26</v>
      </c>
      <c r="D3815" t="s">
        <v>10</v>
      </c>
      <c r="E3815" t="s">
        <v>15</v>
      </c>
      <c r="F3815" t="s">
        <v>24</v>
      </c>
      <c r="G3815" t="s">
        <v>71</v>
      </c>
      <c r="H3815" t="s">
        <v>25</v>
      </c>
    </row>
    <row r="3817" spans="1:8" ht="16" x14ac:dyDescent="0.2">
      <c r="A3817" s="1" t="s">
        <v>4</v>
      </c>
      <c r="B3817" s="1" t="s">
        <v>331</v>
      </c>
    </row>
    <row r="3818" spans="1:8" x14ac:dyDescent="0.2">
      <c r="A3818" t="s">
        <v>5</v>
      </c>
      <c r="B3818" t="s">
        <v>26</v>
      </c>
    </row>
    <row r="3819" spans="1:8" x14ac:dyDescent="0.2">
      <c r="A3819" t="s">
        <v>6</v>
      </c>
      <c r="B3819">
        <v>1</v>
      </c>
    </row>
    <row r="3820" spans="1:8" x14ac:dyDescent="0.2">
      <c r="A3820" t="s">
        <v>7</v>
      </c>
      <c r="B3820" t="s">
        <v>73</v>
      </c>
    </row>
    <row r="3821" spans="1:8" x14ac:dyDescent="0.2">
      <c r="A3821" t="s">
        <v>8</v>
      </c>
      <c r="B3821" t="s">
        <v>9</v>
      </c>
    </row>
    <row r="3822" spans="1:8" x14ac:dyDescent="0.2">
      <c r="A3822" t="s">
        <v>10</v>
      </c>
      <c r="B3822" t="s">
        <v>10</v>
      </c>
    </row>
    <row r="3823" spans="1:8" x14ac:dyDescent="0.2">
      <c r="A3823" t="s">
        <v>11</v>
      </c>
      <c r="B3823" t="s">
        <v>12</v>
      </c>
    </row>
    <row r="3824" spans="1:8" x14ac:dyDescent="0.2">
      <c r="A3824" t="s">
        <v>13</v>
      </c>
      <c r="B3824" t="s">
        <v>291</v>
      </c>
    </row>
    <row r="3825" spans="1:8" x14ac:dyDescent="0.2">
      <c r="A3825" t="s">
        <v>14</v>
      </c>
      <c r="B3825" t="s">
        <v>271</v>
      </c>
    </row>
    <row r="3826" spans="1:8" x14ac:dyDescent="0.2">
      <c r="A3826" t="s">
        <v>16</v>
      </c>
      <c r="B3826" t="s">
        <v>15</v>
      </c>
    </row>
    <row r="3827" spans="1:8" x14ac:dyDescent="0.2">
      <c r="A3827" t="s">
        <v>17</v>
      </c>
      <c r="B3827" t="s">
        <v>214</v>
      </c>
    </row>
    <row r="3828" spans="1:8" ht="16" x14ac:dyDescent="0.2">
      <c r="A3828" s="1" t="s">
        <v>18</v>
      </c>
    </row>
    <row r="3829" spans="1:8" x14ac:dyDescent="0.2">
      <c r="A3829" t="s">
        <v>19</v>
      </c>
      <c r="B3829" t="s">
        <v>20</v>
      </c>
      <c r="C3829" t="s">
        <v>5</v>
      </c>
      <c r="D3829" t="s">
        <v>10</v>
      </c>
      <c r="E3829" t="s">
        <v>22</v>
      </c>
      <c r="F3829" t="s">
        <v>8</v>
      </c>
      <c r="G3829" t="s">
        <v>7</v>
      </c>
      <c r="H3829" t="s">
        <v>23</v>
      </c>
    </row>
    <row r="3830" spans="1:8" x14ac:dyDescent="0.2">
      <c r="A3830" t="s">
        <v>610</v>
      </c>
      <c r="B3830">
        <f>31.9</f>
        <v>31.9</v>
      </c>
      <c r="C3830" t="s">
        <v>33</v>
      </c>
      <c r="D3830" t="s">
        <v>39</v>
      </c>
      <c r="F3830" t="s">
        <v>28</v>
      </c>
      <c r="G3830" t="s">
        <v>611</v>
      </c>
      <c r="H3830" t="s">
        <v>34</v>
      </c>
    </row>
    <row r="3831" spans="1:8" x14ac:dyDescent="0.2">
      <c r="A3831" t="s">
        <v>61</v>
      </c>
      <c r="B3831">
        <v>43.237225488391623</v>
      </c>
      <c r="C3831" t="s">
        <v>33</v>
      </c>
      <c r="D3831" t="s">
        <v>27</v>
      </c>
      <c r="E3831" t="s">
        <v>15</v>
      </c>
      <c r="F3831" t="s">
        <v>28</v>
      </c>
      <c r="G3831" t="s">
        <v>61</v>
      </c>
      <c r="H3831" t="s">
        <v>62</v>
      </c>
    </row>
    <row r="3832" spans="1:8" x14ac:dyDescent="0.2">
      <c r="A3832" t="s">
        <v>283</v>
      </c>
      <c r="B3832">
        <v>5.9608695652173918</v>
      </c>
      <c r="C3832" t="s">
        <v>33</v>
      </c>
      <c r="D3832" t="s">
        <v>27</v>
      </c>
      <c r="E3832" t="s">
        <v>15</v>
      </c>
      <c r="F3832" t="s">
        <v>28</v>
      </c>
      <c r="G3832" t="s">
        <v>284</v>
      </c>
      <c r="H3832" t="s">
        <v>34</v>
      </c>
    </row>
    <row r="3833" spans="1:8" x14ac:dyDescent="0.2">
      <c r="A3833" t="s">
        <v>285</v>
      </c>
      <c r="B3833">
        <v>4.4706521739130434</v>
      </c>
      <c r="C3833" t="s">
        <v>33</v>
      </c>
      <c r="D3833" t="s">
        <v>27</v>
      </c>
      <c r="E3833" t="s">
        <v>15</v>
      </c>
      <c r="F3833" t="s">
        <v>28</v>
      </c>
      <c r="G3833" t="s">
        <v>286</v>
      </c>
      <c r="H3833" t="s">
        <v>34</v>
      </c>
    </row>
    <row r="3834" spans="1:8" x14ac:dyDescent="0.2">
      <c r="A3834" t="s">
        <v>278</v>
      </c>
      <c r="B3834">
        <v>31.313958852340711</v>
      </c>
      <c r="C3834" t="s">
        <v>33</v>
      </c>
      <c r="D3834" t="s">
        <v>27</v>
      </c>
      <c r="E3834" t="s">
        <v>15</v>
      </c>
      <c r="F3834" t="s">
        <v>28</v>
      </c>
      <c r="G3834" t="s">
        <v>279</v>
      </c>
      <c r="H3834" t="s">
        <v>275</v>
      </c>
    </row>
    <row r="3835" spans="1:8" x14ac:dyDescent="0.2">
      <c r="A3835" t="s">
        <v>272</v>
      </c>
      <c r="B3835">
        <v>764.96629710231309</v>
      </c>
      <c r="C3835" t="s">
        <v>33</v>
      </c>
      <c r="D3835" t="s">
        <v>27</v>
      </c>
      <c r="E3835" t="s">
        <v>15</v>
      </c>
      <c r="F3835" t="s">
        <v>28</v>
      </c>
      <c r="G3835" t="s">
        <v>273</v>
      </c>
      <c r="H3835" t="s">
        <v>62</v>
      </c>
    </row>
    <row r="3836" spans="1:8" x14ac:dyDescent="0.2">
      <c r="A3836" t="s">
        <v>274</v>
      </c>
      <c r="B3836">
        <v>184.17866422772661</v>
      </c>
      <c r="C3836" t="s">
        <v>33</v>
      </c>
      <c r="D3836" t="s">
        <v>27</v>
      </c>
      <c r="E3836" t="s">
        <v>15</v>
      </c>
      <c r="F3836" t="s">
        <v>28</v>
      </c>
      <c r="G3836" t="s">
        <v>500</v>
      </c>
      <c r="H3836" t="s">
        <v>275</v>
      </c>
    </row>
    <row r="3837" spans="1:8" x14ac:dyDescent="0.2">
      <c r="A3837" t="s">
        <v>287</v>
      </c>
      <c r="B3837">
        <v>8.9413043478260867</v>
      </c>
      <c r="C3837" t="s">
        <v>33</v>
      </c>
      <c r="D3837" t="s">
        <v>27</v>
      </c>
      <c r="E3837" t="s">
        <v>15</v>
      </c>
      <c r="F3837" t="s">
        <v>28</v>
      </c>
      <c r="G3837" t="s">
        <v>288</v>
      </c>
      <c r="H3837" t="s">
        <v>34</v>
      </c>
    </row>
    <row r="3838" spans="1:8" x14ac:dyDescent="0.2">
      <c r="A3838" t="s">
        <v>289</v>
      </c>
      <c r="B3838">
        <v>3.973913043478261</v>
      </c>
      <c r="C3838" t="s">
        <v>33</v>
      </c>
      <c r="D3838" t="s">
        <v>27</v>
      </c>
      <c r="E3838" t="s">
        <v>15</v>
      </c>
      <c r="F3838" t="s">
        <v>28</v>
      </c>
      <c r="G3838" t="s">
        <v>290</v>
      </c>
      <c r="H3838" t="s">
        <v>34</v>
      </c>
    </row>
    <row r="3839" spans="1:8" x14ac:dyDescent="0.2">
      <c r="A3839" t="s">
        <v>280</v>
      </c>
      <c r="B3839">
        <v>-54.660697982775503</v>
      </c>
      <c r="C3839" t="s">
        <v>33</v>
      </c>
      <c r="D3839" t="s">
        <v>27</v>
      </c>
      <c r="E3839" t="s">
        <v>15</v>
      </c>
      <c r="F3839" t="s">
        <v>28</v>
      </c>
      <c r="G3839" t="s">
        <v>281</v>
      </c>
      <c r="H3839" t="s">
        <v>282</v>
      </c>
    </row>
    <row r="3840" spans="1:8" x14ac:dyDescent="0.2">
      <c r="A3840" t="s">
        <v>60</v>
      </c>
      <c r="B3840">
        <v>30.316666666666659</v>
      </c>
      <c r="C3840" t="s">
        <v>26</v>
      </c>
      <c r="D3840" t="s">
        <v>27</v>
      </c>
      <c r="E3840" t="s">
        <v>15</v>
      </c>
      <c r="F3840" t="s">
        <v>28</v>
      </c>
      <c r="G3840" t="s">
        <v>54</v>
      </c>
      <c r="H3840" t="s">
        <v>34</v>
      </c>
    </row>
    <row r="3841" spans="1:8" x14ac:dyDescent="0.2">
      <c r="A3841" t="s">
        <v>276</v>
      </c>
      <c r="B3841">
        <v>-752.04573828058824</v>
      </c>
      <c r="C3841" t="s">
        <v>33</v>
      </c>
      <c r="D3841" t="s">
        <v>27</v>
      </c>
      <c r="E3841" t="s">
        <v>15</v>
      </c>
      <c r="F3841" t="s">
        <v>28</v>
      </c>
      <c r="G3841" t="s">
        <v>277</v>
      </c>
      <c r="H3841" t="s">
        <v>25</v>
      </c>
    </row>
    <row r="3842" spans="1:8" x14ac:dyDescent="0.2">
      <c r="A3842" t="s">
        <v>501</v>
      </c>
      <c r="B3842">
        <v>-184.17866422772661</v>
      </c>
      <c r="C3842" t="s">
        <v>33</v>
      </c>
      <c r="D3842" t="s">
        <v>27</v>
      </c>
      <c r="E3842" t="s">
        <v>15</v>
      </c>
      <c r="F3842" t="s">
        <v>28</v>
      </c>
      <c r="G3842" t="s">
        <v>502</v>
      </c>
      <c r="H3842" t="s">
        <v>25</v>
      </c>
    </row>
    <row r="3843" spans="1:8" x14ac:dyDescent="0.2">
      <c r="A3843" t="s">
        <v>56</v>
      </c>
      <c r="B3843">
        <v>127.5701834009058</v>
      </c>
      <c r="C3843" t="s">
        <v>63</v>
      </c>
      <c r="D3843" t="s">
        <v>39</v>
      </c>
      <c r="E3843" t="s">
        <v>15</v>
      </c>
      <c r="F3843" t="s">
        <v>28</v>
      </c>
      <c r="G3843" t="s">
        <v>58</v>
      </c>
      <c r="H3843" t="s">
        <v>34</v>
      </c>
    </row>
    <row r="3844" spans="1:8" x14ac:dyDescent="0.2">
      <c r="A3844" t="s">
        <v>331</v>
      </c>
      <c r="B3844">
        <v>1</v>
      </c>
      <c r="C3844" t="s">
        <v>26</v>
      </c>
      <c r="D3844" t="s">
        <v>10</v>
      </c>
      <c r="E3844" t="s">
        <v>15</v>
      </c>
      <c r="F3844" t="s">
        <v>24</v>
      </c>
      <c r="G3844" t="s">
        <v>73</v>
      </c>
      <c r="H3844" t="s">
        <v>25</v>
      </c>
    </row>
    <row r="3847" spans="1:8" ht="16" x14ac:dyDescent="0.2">
      <c r="A3847" s="1" t="s">
        <v>4</v>
      </c>
      <c r="B3847" s="1" t="s">
        <v>481</v>
      </c>
    </row>
    <row r="3848" spans="1:8" x14ac:dyDescent="0.2">
      <c r="A3848" t="s">
        <v>5</v>
      </c>
      <c r="B3848" t="s">
        <v>26</v>
      </c>
    </row>
    <row r="3849" spans="1:8" x14ac:dyDescent="0.2">
      <c r="A3849" t="s">
        <v>6</v>
      </c>
      <c r="B3849">
        <v>1</v>
      </c>
    </row>
    <row r="3850" spans="1:8" x14ac:dyDescent="0.2">
      <c r="A3850" t="s">
        <v>7</v>
      </c>
      <c r="B3850" t="s">
        <v>88</v>
      </c>
    </row>
    <row r="3851" spans="1:8" x14ac:dyDescent="0.2">
      <c r="A3851" t="s">
        <v>8</v>
      </c>
      <c r="B3851" t="s">
        <v>9</v>
      </c>
    </row>
    <row r="3852" spans="1:8" x14ac:dyDescent="0.2">
      <c r="A3852" t="s">
        <v>10</v>
      </c>
      <c r="B3852" t="s">
        <v>10</v>
      </c>
    </row>
    <row r="3853" spans="1:8" x14ac:dyDescent="0.2">
      <c r="A3853" t="s">
        <v>11</v>
      </c>
      <c r="B3853" t="s">
        <v>12</v>
      </c>
    </row>
    <row r="3854" spans="1:8" x14ac:dyDescent="0.2">
      <c r="A3854" t="s">
        <v>13</v>
      </c>
      <c r="B3854" t="s">
        <v>291</v>
      </c>
    </row>
    <row r="3855" spans="1:8" x14ac:dyDescent="0.2">
      <c r="A3855" t="s">
        <v>14</v>
      </c>
      <c r="B3855" t="s">
        <v>271</v>
      </c>
    </row>
    <row r="3856" spans="1:8" x14ac:dyDescent="0.2">
      <c r="A3856" t="s">
        <v>16</v>
      </c>
      <c r="B3856" t="s">
        <v>15</v>
      </c>
    </row>
    <row r="3857" spans="1:8" x14ac:dyDescent="0.2">
      <c r="A3857" t="s">
        <v>17</v>
      </c>
      <c r="B3857" t="s">
        <v>215</v>
      </c>
    </row>
    <row r="3858" spans="1:8" ht="16" x14ac:dyDescent="0.2">
      <c r="A3858" s="1" t="s">
        <v>18</v>
      </c>
    </row>
    <row r="3859" spans="1:8" x14ac:dyDescent="0.2">
      <c r="A3859" t="s">
        <v>19</v>
      </c>
      <c r="B3859" t="s">
        <v>20</v>
      </c>
      <c r="C3859" t="s">
        <v>5</v>
      </c>
      <c r="D3859" t="s">
        <v>10</v>
      </c>
      <c r="E3859" t="s">
        <v>22</v>
      </c>
      <c r="F3859" t="s">
        <v>8</v>
      </c>
      <c r="G3859" t="s">
        <v>7</v>
      </c>
      <c r="H3859" t="s">
        <v>23</v>
      </c>
    </row>
    <row r="3860" spans="1:8" x14ac:dyDescent="0.2">
      <c r="A3860" t="s">
        <v>610</v>
      </c>
      <c r="B3860">
        <f>11.7</f>
        <v>11.7</v>
      </c>
      <c r="C3860" t="s">
        <v>33</v>
      </c>
      <c r="D3860" t="s">
        <v>39</v>
      </c>
      <c r="F3860" t="s">
        <v>28</v>
      </c>
      <c r="G3860" t="s">
        <v>611</v>
      </c>
      <c r="H3860" t="s">
        <v>34</v>
      </c>
    </row>
    <row r="3861" spans="1:8" x14ac:dyDescent="0.2">
      <c r="A3861" t="s">
        <v>484</v>
      </c>
      <c r="B3861">
        <v>78.260869565217391</v>
      </c>
      <c r="C3861" t="s">
        <v>26</v>
      </c>
      <c r="D3861" t="s">
        <v>27</v>
      </c>
      <c r="E3861" t="s">
        <v>15</v>
      </c>
      <c r="F3861" t="s">
        <v>28</v>
      </c>
      <c r="G3861" t="s">
        <v>485</v>
      </c>
      <c r="H3861" t="s">
        <v>34</v>
      </c>
    </row>
    <row r="3862" spans="1:8" x14ac:dyDescent="0.2">
      <c r="A3862" t="s">
        <v>61</v>
      </c>
      <c r="B3862">
        <v>39.565217391304351</v>
      </c>
      <c r="C3862" t="s">
        <v>33</v>
      </c>
      <c r="D3862" t="s">
        <v>27</v>
      </c>
      <c r="E3862" t="s">
        <v>15</v>
      </c>
      <c r="F3862" t="s">
        <v>28</v>
      </c>
      <c r="G3862" t="s">
        <v>61</v>
      </c>
      <c r="H3862" t="s">
        <v>62</v>
      </c>
    </row>
    <row r="3863" spans="1:8" ht="16" x14ac:dyDescent="0.2">
      <c r="A3863" s="2" t="s">
        <v>503</v>
      </c>
      <c r="B3863">
        <v>11.1</v>
      </c>
      <c r="C3863" t="s">
        <v>505</v>
      </c>
      <c r="D3863" t="s">
        <v>10</v>
      </c>
      <c r="E3863" t="s">
        <v>15</v>
      </c>
      <c r="F3863" t="s">
        <v>28</v>
      </c>
      <c r="G3863" t="s">
        <v>504</v>
      </c>
      <c r="H3863" t="s">
        <v>34</v>
      </c>
    </row>
    <row r="3864" spans="1:8" x14ac:dyDescent="0.2">
      <c r="A3864" t="s">
        <v>285</v>
      </c>
      <c r="B3864">
        <v>4.4706521739130434</v>
      </c>
      <c r="C3864" t="s">
        <v>33</v>
      </c>
      <c r="D3864" t="s">
        <v>27</v>
      </c>
      <c r="E3864" t="s">
        <v>15</v>
      </c>
      <c r="F3864" t="s">
        <v>28</v>
      </c>
      <c r="G3864" t="s">
        <v>286</v>
      </c>
      <c r="H3864" t="s">
        <v>34</v>
      </c>
    </row>
    <row r="3865" spans="1:8" x14ac:dyDescent="0.2">
      <c r="A3865" t="s">
        <v>278</v>
      </c>
      <c r="B3865">
        <v>48.244787656764629</v>
      </c>
      <c r="C3865" t="s">
        <v>33</v>
      </c>
      <c r="D3865" t="s">
        <v>27</v>
      </c>
      <c r="E3865" t="s">
        <v>15</v>
      </c>
      <c r="F3865" t="s">
        <v>28</v>
      </c>
      <c r="G3865" t="s">
        <v>279</v>
      </c>
      <c r="H3865" t="s">
        <v>275</v>
      </c>
    </row>
    <row r="3866" spans="1:8" x14ac:dyDescent="0.2">
      <c r="A3866" t="s">
        <v>272</v>
      </c>
      <c r="B3866">
        <v>700</v>
      </c>
      <c r="C3866" t="s">
        <v>33</v>
      </c>
      <c r="D3866" t="s">
        <v>27</v>
      </c>
      <c r="E3866" t="s">
        <v>15</v>
      </c>
      <c r="F3866" t="s">
        <v>28</v>
      </c>
      <c r="G3866" t="s">
        <v>273</v>
      </c>
      <c r="H3866" t="s">
        <v>62</v>
      </c>
    </row>
    <row r="3867" spans="1:8" x14ac:dyDescent="0.2">
      <c r="A3867" t="s">
        <v>274</v>
      </c>
      <c r="B3867">
        <v>57.08847845276204</v>
      </c>
      <c r="C3867" t="s">
        <v>33</v>
      </c>
      <c r="D3867" t="s">
        <v>27</v>
      </c>
      <c r="E3867" t="s">
        <v>15</v>
      </c>
      <c r="F3867" t="s">
        <v>28</v>
      </c>
      <c r="G3867" t="s">
        <v>500</v>
      </c>
      <c r="H3867" t="s">
        <v>275</v>
      </c>
    </row>
    <row r="3868" spans="1:8" x14ac:dyDescent="0.2">
      <c r="A3868" t="s">
        <v>287</v>
      </c>
      <c r="B3868">
        <v>8.9413043478260867</v>
      </c>
      <c r="C3868" t="s">
        <v>33</v>
      </c>
      <c r="D3868" t="s">
        <v>27</v>
      </c>
      <c r="E3868" t="s">
        <v>15</v>
      </c>
      <c r="F3868" t="s">
        <v>28</v>
      </c>
      <c r="G3868" t="s">
        <v>288</v>
      </c>
      <c r="H3868" t="s">
        <v>34</v>
      </c>
    </row>
    <row r="3869" spans="1:8" x14ac:dyDescent="0.2">
      <c r="A3869" t="s">
        <v>289</v>
      </c>
      <c r="B3869">
        <v>3.973913043478261</v>
      </c>
      <c r="C3869" t="s">
        <v>33</v>
      </c>
      <c r="D3869" t="s">
        <v>27</v>
      </c>
      <c r="E3869" t="s">
        <v>15</v>
      </c>
      <c r="F3869" t="s">
        <v>28</v>
      </c>
      <c r="G3869" t="s">
        <v>290</v>
      </c>
      <c r="H3869" t="s">
        <v>34</v>
      </c>
    </row>
    <row r="3870" spans="1:8" x14ac:dyDescent="0.2">
      <c r="A3870" t="s">
        <v>280</v>
      </c>
      <c r="B3870">
        <v>-154.83702906917111</v>
      </c>
      <c r="C3870" t="s">
        <v>33</v>
      </c>
      <c r="D3870" t="s">
        <v>27</v>
      </c>
      <c r="E3870" t="s">
        <v>15</v>
      </c>
      <c r="F3870" t="s">
        <v>28</v>
      </c>
      <c r="G3870" t="s">
        <v>281</v>
      </c>
      <c r="H3870" t="s">
        <v>282</v>
      </c>
    </row>
    <row r="3871" spans="1:8" x14ac:dyDescent="0.2">
      <c r="A3871" t="s">
        <v>276</v>
      </c>
      <c r="B3871">
        <v>-738.695652173913</v>
      </c>
      <c r="C3871" t="s">
        <v>33</v>
      </c>
      <c r="D3871" t="s">
        <v>27</v>
      </c>
      <c r="E3871" t="s">
        <v>15</v>
      </c>
      <c r="F3871" t="s">
        <v>28</v>
      </c>
      <c r="G3871" t="s">
        <v>277</v>
      </c>
      <c r="H3871" t="s">
        <v>25</v>
      </c>
    </row>
    <row r="3872" spans="1:8" x14ac:dyDescent="0.2">
      <c r="A3872" t="s">
        <v>501</v>
      </c>
      <c r="B3872">
        <v>-57.08847845276204</v>
      </c>
      <c r="C3872" t="s">
        <v>33</v>
      </c>
      <c r="D3872" t="s">
        <v>27</v>
      </c>
      <c r="E3872" t="s">
        <v>15</v>
      </c>
      <c r="F3872" t="s">
        <v>28</v>
      </c>
      <c r="G3872" t="s">
        <v>502</v>
      </c>
      <c r="H3872" t="s">
        <v>25</v>
      </c>
    </row>
    <row r="3873" spans="1:8" x14ac:dyDescent="0.2">
      <c r="A3873" t="s">
        <v>56</v>
      </c>
      <c r="B3873">
        <v>46.662695596144218</v>
      </c>
      <c r="C3873" t="s">
        <v>63</v>
      </c>
      <c r="D3873" t="s">
        <v>39</v>
      </c>
      <c r="E3873" t="s">
        <v>15</v>
      </c>
      <c r="F3873" t="s">
        <v>28</v>
      </c>
      <c r="G3873" t="s">
        <v>58</v>
      </c>
      <c r="H3873" t="s">
        <v>34</v>
      </c>
    </row>
    <row r="3874" spans="1:8" x14ac:dyDescent="0.2">
      <c r="A3874" t="s">
        <v>481</v>
      </c>
      <c r="B3874">
        <v>1</v>
      </c>
      <c r="C3874" t="s">
        <v>26</v>
      </c>
      <c r="D3874" t="s">
        <v>10</v>
      </c>
      <c r="E3874" t="s">
        <v>15</v>
      </c>
      <c r="F3874" t="s">
        <v>24</v>
      </c>
      <c r="G3874" t="s">
        <v>88</v>
      </c>
      <c r="H3874" t="s">
        <v>25</v>
      </c>
    </row>
    <row r="3877" spans="1:8" ht="16" x14ac:dyDescent="0.2">
      <c r="A3877" s="1" t="s">
        <v>4</v>
      </c>
      <c r="B3877" s="1" t="s">
        <v>494</v>
      </c>
    </row>
    <row r="3878" spans="1:8" x14ac:dyDescent="0.2">
      <c r="A3878" t="s">
        <v>5</v>
      </c>
      <c r="B3878" t="s">
        <v>26</v>
      </c>
    </row>
    <row r="3879" spans="1:8" x14ac:dyDescent="0.2">
      <c r="A3879" t="s">
        <v>6</v>
      </c>
      <c r="B3879">
        <v>1</v>
      </c>
    </row>
    <row r="3880" spans="1:8" x14ac:dyDescent="0.2">
      <c r="A3880" t="s">
        <v>7</v>
      </c>
      <c r="B3880" t="s">
        <v>88</v>
      </c>
    </row>
    <row r="3881" spans="1:8" x14ac:dyDescent="0.2">
      <c r="A3881" t="s">
        <v>8</v>
      </c>
      <c r="B3881" t="s">
        <v>9</v>
      </c>
    </row>
    <row r="3882" spans="1:8" x14ac:dyDescent="0.2">
      <c r="A3882" t="s">
        <v>10</v>
      </c>
      <c r="B3882" t="s">
        <v>10</v>
      </c>
    </row>
    <row r="3883" spans="1:8" x14ac:dyDescent="0.2">
      <c r="A3883" t="s">
        <v>11</v>
      </c>
      <c r="B3883" t="s">
        <v>12</v>
      </c>
    </row>
    <row r="3884" spans="1:8" x14ac:dyDescent="0.2">
      <c r="A3884" t="s">
        <v>13</v>
      </c>
      <c r="B3884" t="s">
        <v>291</v>
      </c>
    </row>
    <row r="3885" spans="1:8" x14ac:dyDescent="0.2">
      <c r="A3885" t="s">
        <v>14</v>
      </c>
      <c r="B3885" t="s">
        <v>271</v>
      </c>
    </row>
    <row r="3886" spans="1:8" x14ac:dyDescent="0.2">
      <c r="A3886" t="s">
        <v>16</v>
      </c>
      <c r="B3886" t="s">
        <v>15</v>
      </c>
    </row>
    <row r="3887" spans="1:8" x14ac:dyDescent="0.2">
      <c r="A3887" t="s">
        <v>17</v>
      </c>
      <c r="B3887" t="s">
        <v>216</v>
      </c>
    </row>
    <row r="3888" spans="1:8" ht="16" x14ac:dyDescent="0.2">
      <c r="A3888" s="1" t="s">
        <v>18</v>
      </c>
    </row>
    <row r="3889" spans="1:8" x14ac:dyDescent="0.2">
      <c r="A3889" t="s">
        <v>19</v>
      </c>
      <c r="B3889" t="s">
        <v>20</v>
      </c>
      <c r="C3889" t="s">
        <v>5</v>
      </c>
      <c r="D3889" t="s">
        <v>10</v>
      </c>
      <c r="E3889" t="s">
        <v>22</v>
      </c>
      <c r="F3889" t="s">
        <v>8</v>
      </c>
      <c r="G3889" t="s">
        <v>7</v>
      </c>
      <c r="H3889" t="s">
        <v>23</v>
      </c>
    </row>
    <row r="3890" spans="1:8" x14ac:dyDescent="0.2">
      <c r="A3890" t="s">
        <v>610</v>
      </c>
      <c r="B3890">
        <v>22</v>
      </c>
      <c r="C3890" t="s">
        <v>33</v>
      </c>
      <c r="D3890" t="s">
        <v>39</v>
      </c>
      <c r="F3890" t="s">
        <v>28</v>
      </c>
      <c r="G3890" t="s">
        <v>611</v>
      </c>
      <c r="H3890" t="s">
        <v>34</v>
      </c>
    </row>
    <row r="3891" spans="1:8" x14ac:dyDescent="0.2">
      <c r="A3891" t="s">
        <v>61</v>
      </c>
      <c r="B3891">
        <v>70</v>
      </c>
      <c r="C3891" t="s">
        <v>33</v>
      </c>
      <c r="D3891" t="s">
        <v>27</v>
      </c>
      <c r="E3891" t="s">
        <v>15</v>
      </c>
      <c r="F3891" t="s">
        <v>28</v>
      </c>
      <c r="G3891" t="s">
        <v>61</v>
      </c>
      <c r="H3891" t="s">
        <v>62</v>
      </c>
    </row>
    <row r="3892" spans="1:8" x14ac:dyDescent="0.2">
      <c r="A3892" t="s">
        <v>283</v>
      </c>
      <c r="B3892">
        <v>5.9608695652173918</v>
      </c>
      <c r="C3892" t="s">
        <v>33</v>
      </c>
      <c r="D3892" t="s">
        <v>27</v>
      </c>
      <c r="E3892" t="s">
        <v>15</v>
      </c>
      <c r="F3892" t="s">
        <v>28</v>
      </c>
      <c r="G3892" t="s">
        <v>284</v>
      </c>
      <c r="H3892" t="s">
        <v>34</v>
      </c>
    </row>
    <row r="3893" spans="1:8" x14ac:dyDescent="0.2">
      <c r="A3893" t="s">
        <v>285</v>
      </c>
      <c r="B3893">
        <v>4.4706521739130434</v>
      </c>
      <c r="C3893" t="s">
        <v>33</v>
      </c>
      <c r="D3893" t="s">
        <v>27</v>
      </c>
      <c r="E3893" t="s">
        <v>15</v>
      </c>
      <c r="F3893" t="s">
        <v>28</v>
      </c>
      <c r="G3893" t="s">
        <v>286</v>
      </c>
      <c r="H3893" t="s">
        <v>34</v>
      </c>
    </row>
    <row r="3894" spans="1:8" x14ac:dyDescent="0.2">
      <c r="A3894" t="s">
        <v>278</v>
      </c>
      <c r="B3894">
        <v>47.783424084020552</v>
      </c>
      <c r="C3894" t="s">
        <v>33</v>
      </c>
      <c r="D3894" t="s">
        <v>27</v>
      </c>
      <c r="E3894" t="s">
        <v>15</v>
      </c>
      <c r="F3894" t="s">
        <v>28</v>
      </c>
      <c r="G3894" t="s">
        <v>279</v>
      </c>
      <c r="H3894" t="s">
        <v>275</v>
      </c>
    </row>
    <row r="3895" spans="1:8" x14ac:dyDescent="0.2">
      <c r="A3895" t="s">
        <v>272</v>
      </c>
      <c r="B3895">
        <v>700</v>
      </c>
      <c r="C3895" t="s">
        <v>33</v>
      </c>
      <c r="D3895" t="s">
        <v>27</v>
      </c>
      <c r="E3895" t="s">
        <v>15</v>
      </c>
      <c r="F3895" t="s">
        <v>28</v>
      </c>
      <c r="G3895" t="s">
        <v>273</v>
      </c>
      <c r="H3895" t="s">
        <v>62</v>
      </c>
    </row>
    <row r="3896" spans="1:8" x14ac:dyDescent="0.2">
      <c r="A3896" t="s">
        <v>274</v>
      </c>
      <c r="B3896">
        <v>56.72540538029822</v>
      </c>
      <c r="C3896" t="s">
        <v>33</v>
      </c>
      <c r="D3896" t="s">
        <v>27</v>
      </c>
      <c r="E3896" t="s">
        <v>15</v>
      </c>
      <c r="F3896" t="s">
        <v>28</v>
      </c>
      <c r="G3896" t="s">
        <v>500</v>
      </c>
      <c r="H3896" t="s">
        <v>275</v>
      </c>
    </row>
    <row r="3897" spans="1:8" x14ac:dyDescent="0.2">
      <c r="A3897" t="s">
        <v>287</v>
      </c>
      <c r="B3897">
        <v>8.9413043478260867</v>
      </c>
      <c r="C3897" t="s">
        <v>33</v>
      </c>
      <c r="D3897" t="s">
        <v>27</v>
      </c>
      <c r="E3897" t="s">
        <v>15</v>
      </c>
      <c r="F3897" t="s">
        <v>28</v>
      </c>
      <c r="G3897" t="s">
        <v>288</v>
      </c>
      <c r="H3897" t="s">
        <v>34</v>
      </c>
    </row>
    <row r="3898" spans="1:8" x14ac:dyDescent="0.2">
      <c r="A3898" t="s">
        <v>289</v>
      </c>
      <c r="B3898">
        <v>3.973913043478261</v>
      </c>
      <c r="C3898" t="s">
        <v>33</v>
      </c>
      <c r="D3898" t="s">
        <v>27</v>
      </c>
      <c r="E3898" t="s">
        <v>15</v>
      </c>
      <c r="F3898" t="s">
        <v>28</v>
      </c>
      <c r="G3898" t="s">
        <v>290</v>
      </c>
      <c r="H3898" t="s">
        <v>34</v>
      </c>
    </row>
    <row r="3899" spans="1:8" x14ac:dyDescent="0.2">
      <c r="A3899" t="s">
        <v>280</v>
      </c>
      <c r="B3899">
        <v>-71.130163214455337</v>
      </c>
      <c r="C3899" t="s">
        <v>33</v>
      </c>
      <c r="D3899" t="s">
        <v>27</v>
      </c>
      <c r="E3899" t="s">
        <v>15</v>
      </c>
      <c r="F3899" t="s">
        <v>28</v>
      </c>
      <c r="G3899" t="s">
        <v>281</v>
      </c>
      <c r="H3899" t="s">
        <v>282</v>
      </c>
    </row>
    <row r="3900" spans="1:8" x14ac:dyDescent="0.2">
      <c r="A3900" t="s">
        <v>276</v>
      </c>
      <c r="B3900">
        <v>-630</v>
      </c>
      <c r="C3900" t="s">
        <v>33</v>
      </c>
      <c r="D3900" t="s">
        <v>27</v>
      </c>
      <c r="E3900" t="s">
        <v>15</v>
      </c>
      <c r="F3900" t="s">
        <v>28</v>
      </c>
      <c r="G3900" t="s">
        <v>277</v>
      </c>
      <c r="H3900" t="s">
        <v>25</v>
      </c>
    </row>
    <row r="3901" spans="1:8" x14ac:dyDescent="0.2">
      <c r="A3901" t="s">
        <v>501</v>
      </c>
      <c r="B3901">
        <v>-56.72540538029822</v>
      </c>
      <c r="C3901" t="s">
        <v>33</v>
      </c>
      <c r="D3901" t="s">
        <v>27</v>
      </c>
      <c r="E3901" t="s">
        <v>15</v>
      </c>
      <c r="F3901" t="s">
        <v>28</v>
      </c>
      <c r="G3901" t="s">
        <v>502</v>
      </c>
      <c r="H3901" t="s">
        <v>25</v>
      </c>
    </row>
    <row r="3902" spans="1:8" x14ac:dyDescent="0.2">
      <c r="A3902" t="s">
        <v>56</v>
      </c>
      <c r="B3902">
        <v>456</v>
      </c>
      <c r="C3902" t="s">
        <v>63</v>
      </c>
      <c r="D3902" t="s">
        <v>39</v>
      </c>
      <c r="E3902" t="s">
        <v>15</v>
      </c>
      <c r="F3902" t="s">
        <v>28</v>
      </c>
      <c r="G3902" t="s">
        <v>58</v>
      </c>
      <c r="H3902" t="s">
        <v>34</v>
      </c>
    </row>
    <row r="3903" spans="1:8" x14ac:dyDescent="0.2">
      <c r="A3903" t="s">
        <v>494</v>
      </c>
      <c r="B3903">
        <v>1</v>
      </c>
      <c r="C3903" t="s">
        <v>26</v>
      </c>
      <c r="D3903" t="s">
        <v>10</v>
      </c>
      <c r="E3903" t="s">
        <v>15</v>
      </c>
      <c r="F3903" t="s">
        <v>24</v>
      </c>
      <c r="G3903" t="s">
        <v>88</v>
      </c>
      <c r="H3903" t="s">
        <v>25</v>
      </c>
    </row>
    <row r="3906" spans="1:8" ht="16" x14ac:dyDescent="0.2">
      <c r="A3906" s="1" t="s">
        <v>4</v>
      </c>
      <c r="B3906" s="1" t="s">
        <v>388</v>
      </c>
    </row>
    <row r="3907" spans="1:8" x14ac:dyDescent="0.2">
      <c r="A3907" t="s">
        <v>5</v>
      </c>
      <c r="B3907" t="s">
        <v>26</v>
      </c>
    </row>
    <row r="3908" spans="1:8" x14ac:dyDescent="0.2">
      <c r="A3908" t="s">
        <v>6</v>
      </c>
      <c r="B3908">
        <v>1</v>
      </c>
    </row>
    <row r="3909" spans="1:8" x14ac:dyDescent="0.2">
      <c r="A3909" t="s">
        <v>7</v>
      </c>
      <c r="B3909" t="s">
        <v>71</v>
      </c>
    </row>
    <row r="3910" spans="1:8" x14ac:dyDescent="0.2">
      <c r="A3910" t="s">
        <v>8</v>
      </c>
      <c r="B3910" t="s">
        <v>9</v>
      </c>
    </row>
    <row r="3911" spans="1:8" x14ac:dyDescent="0.2">
      <c r="A3911" t="s">
        <v>10</v>
      </c>
      <c r="B3911" t="s">
        <v>10</v>
      </c>
    </row>
    <row r="3912" spans="1:8" x14ac:dyDescent="0.2">
      <c r="A3912" t="s">
        <v>11</v>
      </c>
      <c r="B3912" t="s">
        <v>12</v>
      </c>
    </row>
    <row r="3913" spans="1:8" x14ac:dyDescent="0.2">
      <c r="A3913" t="s">
        <v>13</v>
      </c>
      <c r="B3913" t="s">
        <v>291</v>
      </c>
    </row>
    <row r="3914" spans="1:8" x14ac:dyDescent="0.2">
      <c r="A3914" t="s">
        <v>14</v>
      </c>
      <c r="B3914" t="s">
        <v>271</v>
      </c>
    </row>
    <row r="3915" spans="1:8" x14ac:dyDescent="0.2">
      <c r="A3915" t="s">
        <v>16</v>
      </c>
      <c r="B3915" t="s">
        <v>15</v>
      </c>
    </row>
    <row r="3916" spans="1:8" x14ac:dyDescent="0.2">
      <c r="A3916" t="s">
        <v>17</v>
      </c>
      <c r="B3916" t="s">
        <v>217</v>
      </c>
    </row>
    <row r="3917" spans="1:8" ht="16" x14ac:dyDescent="0.2">
      <c r="A3917" s="1" t="s">
        <v>18</v>
      </c>
    </row>
    <row r="3918" spans="1:8" x14ac:dyDescent="0.2">
      <c r="A3918" t="s">
        <v>19</v>
      </c>
      <c r="B3918" t="s">
        <v>20</v>
      </c>
      <c r="C3918" t="s">
        <v>5</v>
      </c>
      <c r="D3918" t="s">
        <v>10</v>
      </c>
      <c r="E3918" t="s">
        <v>22</v>
      </c>
      <c r="F3918" t="s">
        <v>8</v>
      </c>
      <c r="G3918" t="s">
        <v>7</v>
      </c>
      <c r="H3918" t="s">
        <v>23</v>
      </c>
    </row>
    <row r="3919" spans="1:8" x14ac:dyDescent="0.2">
      <c r="A3919" t="s">
        <v>610</v>
      </c>
      <c r="B3919">
        <f>6.9</f>
        <v>6.9</v>
      </c>
      <c r="C3919" t="s">
        <v>33</v>
      </c>
      <c r="D3919" t="s">
        <v>39</v>
      </c>
      <c r="F3919" t="s">
        <v>28</v>
      </c>
      <c r="G3919" t="s">
        <v>611</v>
      </c>
      <c r="H3919" t="s">
        <v>34</v>
      </c>
    </row>
    <row r="3920" spans="1:8" x14ac:dyDescent="0.2">
      <c r="A3920" t="s">
        <v>61</v>
      </c>
      <c r="B3920">
        <v>37.282608695652179</v>
      </c>
      <c r="C3920" t="s">
        <v>33</v>
      </c>
      <c r="D3920" t="s">
        <v>27</v>
      </c>
      <c r="E3920" t="s">
        <v>15</v>
      </c>
      <c r="F3920" t="s">
        <v>28</v>
      </c>
      <c r="G3920" t="s">
        <v>61</v>
      </c>
      <c r="H3920" t="s">
        <v>62</v>
      </c>
    </row>
    <row r="3921" spans="1:8" x14ac:dyDescent="0.2">
      <c r="A3921" t="s">
        <v>278</v>
      </c>
      <c r="B3921">
        <v>26.741666738092139</v>
      </c>
      <c r="C3921" t="s">
        <v>33</v>
      </c>
      <c r="D3921" t="s">
        <v>27</v>
      </c>
      <c r="E3921" t="s">
        <v>15</v>
      </c>
      <c r="F3921" t="s">
        <v>28</v>
      </c>
      <c r="G3921" t="s">
        <v>279</v>
      </c>
      <c r="H3921" t="s">
        <v>275</v>
      </c>
    </row>
    <row r="3922" spans="1:8" x14ac:dyDescent="0.2">
      <c r="A3922" t="s">
        <v>272</v>
      </c>
      <c r="B3922">
        <v>700</v>
      </c>
      <c r="C3922" t="s">
        <v>33</v>
      </c>
      <c r="D3922" t="s">
        <v>27</v>
      </c>
      <c r="E3922" t="s">
        <v>15</v>
      </c>
      <c r="F3922" t="s">
        <v>28</v>
      </c>
      <c r="G3922" t="s">
        <v>273</v>
      </c>
      <c r="H3922" t="s">
        <v>62</v>
      </c>
    </row>
    <row r="3923" spans="1:8" x14ac:dyDescent="0.2">
      <c r="A3923" t="s">
        <v>274</v>
      </c>
      <c r="B3923">
        <v>174.48176258327311</v>
      </c>
      <c r="C3923" t="s">
        <v>33</v>
      </c>
      <c r="D3923" t="s">
        <v>27</v>
      </c>
      <c r="E3923" t="s">
        <v>15</v>
      </c>
      <c r="F3923" t="s">
        <v>28</v>
      </c>
      <c r="G3923" t="s">
        <v>500</v>
      </c>
      <c r="H3923" t="s">
        <v>275</v>
      </c>
    </row>
    <row r="3924" spans="1:8" x14ac:dyDescent="0.2">
      <c r="A3924" t="s">
        <v>287</v>
      </c>
      <c r="B3924">
        <v>8.9706521739130434</v>
      </c>
      <c r="C3924" t="s">
        <v>33</v>
      </c>
      <c r="D3924" t="s">
        <v>27</v>
      </c>
      <c r="E3924" t="s">
        <v>15</v>
      </c>
      <c r="F3924" t="s">
        <v>28</v>
      </c>
      <c r="G3924" t="s">
        <v>288</v>
      </c>
      <c r="H3924" t="s">
        <v>34</v>
      </c>
    </row>
    <row r="3925" spans="1:8" x14ac:dyDescent="0.2">
      <c r="A3925" t="s">
        <v>289</v>
      </c>
      <c r="B3925">
        <v>3.9869565217391298</v>
      </c>
      <c r="C3925" t="s">
        <v>33</v>
      </c>
      <c r="D3925" t="s">
        <v>27</v>
      </c>
      <c r="E3925" t="s">
        <v>15</v>
      </c>
      <c r="F3925" t="s">
        <v>28</v>
      </c>
      <c r="G3925" t="s">
        <v>290</v>
      </c>
      <c r="H3925" t="s">
        <v>34</v>
      </c>
    </row>
    <row r="3926" spans="1:8" x14ac:dyDescent="0.2">
      <c r="A3926" t="s">
        <v>280</v>
      </c>
      <c r="B3926">
        <v>-39.699275433744297</v>
      </c>
      <c r="C3926" t="s">
        <v>33</v>
      </c>
      <c r="D3926" t="s">
        <v>27</v>
      </c>
      <c r="E3926" t="s">
        <v>15</v>
      </c>
      <c r="F3926" t="s">
        <v>28</v>
      </c>
      <c r="G3926" t="s">
        <v>281</v>
      </c>
      <c r="H3926" t="s">
        <v>282</v>
      </c>
    </row>
    <row r="3927" spans="1:8" x14ac:dyDescent="0.2">
      <c r="A3927" t="s">
        <v>60</v>
      </c>
      <c r="B3927">
        <v>24.291666666666661</v>
      </c>
      <c r="C3927" t="s">
        <v>26</v>
      </c>
      <c r="D3927" t="s">
        <v>27</v>
      </c>
      <c r="E3927" t="s">
        <v>15</v>
      </c>
      <c r="F3927" t="s">
        <v>28</v>
      </c>
      <c r="G3927" t="s">
        <v>54</v>
      </c>
      <c r="H3927" t="s">
        <v>34</v>
      </c>
    </row>
    <row r="3928" spans="1:8" x14ac:dyDescent="0.2">
      <c r="A3928" t="s">
        <v>276</v>
      </c>
      <c r="B3928">
        <v>-687.0090579710145</v>
      </c>
      <c r="C3928" t="s">
        <v>33</v>
      </c>
      <c r="D3928" t="s">
        <v>27</v>
      </c>
      <c r="E3928" t="s">
        <v>15</v>
      </c>
      <c r="F3928" t="s">
        <v>28</v>
      </c>
      <c r="G3928" t="s">
        <v>277</v>
      </c>
      <c r="H3928" t="s">
        <v>25</v>
      </c>
    </row>
    <row r="3929" spans="1:8" x14ac:dyDescent="0.2">
      <c r="A3929" t="s">
        <v>501</v>
      </c>
      <c r="B3929">
        <v>-174.48176258327311</v>
      </c>
      <c r="C3929" t="s">
        <v>33</v>
      </c>
      <c r="D3929" t="s">
        <v>27</v>
      </c>
      <c r="E3929" t="s">
        <v>15</v>
      </c>
      <c r="F3929" t="s">
        <v>28</v>
      </c>
      <c r="G3929" t="s">
        <v>502</v>
      </c>
      <c r="H3929" t="s">
        <v>25</v>
      </c>
    </row>
    <row r="3930" spans="1:8" x14ac:dyDescent="0.2">
      <c r="A3930" t="s">
        <v>56</v>
      </c>
      <c r="B3930">
        <v>41.06736883607222</v>
      </c>
      <c r="C3930" t="s">
        <v>63</v>
      </c>
      <c r="D3930" t="s">
        <v>39</v>
      </c>
      <c r="E3930" t="s">
        <v>15</v>
      </c>
      <c r="F3930" t="s">
        <v>28</v>
      </c>
      <c r="G3930" t="s">
        <v>58</v>
      </c>
      <c r="H3930" t="s">
        <v>34</v>
      </c>
    </row>
    <row r="3931" spans="1:8" x14ac:dyDescent="0.2">
      <c r="A3931" t="s">
        <v>388</v>
      </c>
      <c r="B3931">
        <v>1</v>
      </c>
      <c r="C3931" t="s">
        <v>26</v>
      </c>
      <c r="D3931" t="s">
        <v>10</v>
      </c>
      <c r="E3931" t="s">
        <v>15</v>
      </c>
      <c r="F3931" t="s">
        <v>24</v>
      </c>
      <c r="G3931" t="s">
        <v>71</v>
      </c>
      <c r="H3931" t="s">
        <v>25</v>
      </c>
    </row>
    <row r="3933" spans="1:8" ht="16" x14ac:dyDescent="0.2">
      <c r="A3933" s="1" t="s">
        <v>4</v>
      </c>
      <c r="B3933" s="1" t="s">
        <v>332</v>
      </c>
    </row>
    <row r="3934" spans="1:8" x14ac:dyDescent="0.2">
      <c r="A3934" t="s">
        <v>5</v>
      </c>
      <c r="B3934" t="s">
        <v>26</v>
      </c>
    </row>
    <row r="3935" spans="1:8" x14ac:dyDescent="0.2">
      <c r="A3935" t="s">
        <v>6</v>
      </c>
      <c r="B3935">
        <v>1</v>
      </c>
    </row>
    <row r="3936" spans="1:8" x14ac:dyDescent="0.2">
      <c r="A3936" t="s">
        <v>7</v>
      </c>
      <c r="B3936" t="s">
        <v>73</v>
      </c>
    </row>
    <row r="3937" spans="1:8" x14ac:dyDescent="0.2">
      <c r="A3937" t="s">
        <v>8</v>
      </c>
      <c r="B3937" t="s">
        <v>9</v>
      </c>
    </row>
    <row r="3938" spans="1:8" x14ac:dyDescent="0.2">
      <c r="A3938" t="s">
        <v>10</v>
      </c>
      <c r="B3938" t="s">
        <v>10</v>
      </c>
    </row>
    <row r="3939" spans="1:8" x14ac:dyDescent="0.2">
      <c r="A3939" t="s">
        <v>11</v>
      </c>
      <c r="B3939" t="s">
        <v>12</v>
      </c>
    </row>
    <row r="3940" spans="1:8" x14ac:dyDescent="0.2">
      <c r="A3940" t="s">
        <v>13</v>
      </c>
      <c r="B3940" t="s">
        <v>291</v>
      </c>
    </row>
    <row r="3941" spans="1:8" x14ac:dyDescent="0.2">
      <c r="A3941" t="s">
        <v>14</v>
      </c>
      <c r="B3941" t="s">
        <v>271</v>
      </c>
    </row>
    <row r="3942" spans="1:8" x14ac:dyDescent="0.2">
      <c r="A3942" t="s">
        <v>16</v>
      </c>
      <c r="B3942" t="s">
        <v>15</v>
      </c>
    </row>
    <row r="3943" spans="1:8" x14ac:dyDescent="0.2">
      <c r="A3943" t="s">
        <v>17</v>
      </c>
      <c r="B3943" t="s">
        <v>218</v>
      </c>
    </row>
    <row r="3944" spans="1:8" ht="16" x14ac:dyDescent="0.2">
      <c r="A3944" s="1" t="s">
        <v>18</v>
      </c>
    </row>
    <row r="3945" spans="1:8" x14ac:dyDescent="0.2">
      <c r="A3945" t="s">
        <v>19</v>
      </c>
      <c r="B3945" t="s">
        <v>20</v>
      </c>
      <c r="C3945" t="s">
        <v>5</v>
      </c>
      <c r="D3945" t="s">
        <v>10</v>
      </c>
      <c r="E3945" t="s">
        <v>22</v>
      </c>
      <c r="F3945" t="s">
        <v>8</v>
      </c>
      <c r="G3945" t="s">
        <v>7</v>
      </c>
      <c r="H3945" t="s">
        <v>23</v>
      </c>
    </row>
    <row r="3946" spans="1:8" x14ac:dyDescent="0.2">
      <c r="A3946" t="s">
        <v>610</v>
      </c>
      <c r="B3946">
        <f>6.6</f>
        <v>6.6</v>
      </c>
      <c r="C3946" t="s">
        <v>33</v>
      </c>
      <c r="D3946" t="s">
        <v>39</v>
      </c>
      <c r="F3946" t="s">
        <v>28</v>
      </c>
      <c r="G3946" t="s">
        <v>611</v>
      </c>
      <c r="H3946" t="s">
        <v>34</v>
      </c>
    </row>
    <row r="3947" spans="1:8" x14ac:dyDescent="0.2">
      <c r="A3947" t="s">
        <v>61</v>
      </c>
      <c r="B3947">
        <v>39.565217391304351</v>
      </c>
      <c r="C3947" t="s">
        <v>33</v>
      </c>
      <c r="D3947" t="s">
        <v>27</v>
      </c>
      <c r="E3947" t="s">
        <v>15</v>
      </c>
      <c r="F3947" t="s">
        <v>28</v>
      </c>
      <c r="G3947" t="s">
        <v>61</v>
      </c>
      <c r="H3947" t="s">
        <v>62</v>
      </c>
    </row>
    <row r="3948" spans="1:8" x14ac:dyDescent="0.2">
      <c r="A3948" t="s">
        <v>278</v>
      </c>
      <c r="B3948">
        <v>26.341131741748399</v>
      </c>
      <c r="C3948" t="s">
        <v>33</v>
      </c>
      <c r="D3948" t="s">
        <v>27</v>
      </c>
      <c r="E3948" t="s">
        <v>15</v>
      </c>
      <c r="F3948" t="s">
        <v>28</v>
      </c>
      <c r="G3948" t="s">
        <v>279</v>
      </c>
      <c r="H3948" t="s">
        <v>275</v>
      </c>
    </row>
    <row r="3949" spans="1:8" x14ac:dyDescent="0.2">
      <c r="A3949" t="s">
        <v>272</v>
      </c>
      <c r="B3949">
        <v>700</v>
      </c>
      <c r="C3949" t="s">
        <v>33</v>
      </c>
      <c r="D3949" t="s">
        <v>27</v>
      </c>
      <c r="E3949" t="s">
        <v>15</v>
      </c>
      <c r="F3949" t="s">
        <v>28</v>
      </c>
      <c r="G3949" t="s">
        <v>273</v>
      </c>
      <c r="H3949" t="s">
        <v>62</v>
      </c>
    </row>
    <row r="3950" spans="1:8" x14ac:dyDescent="0.2">
      <c r="A3950" t="s">
        <v>274</v>
      </c>
      <c r="B3950">
        <v>172.54738768012041</v>
      </c>
      <c r="C3950" t="s">
        <v>33</v>
      </c>
      <c r="D3950" t="s">
        <v>27</v>
      </c>
      <c r="E3950" t="s">
        <v>15</v>
      </c>
      <c r="F3950" t="s">
        <v>28</v>
      </c>
      <c r="G3950" t="s">
        <v>500</v>
      </c>
      <c r="H3950" t="s">
        <v>275</v>
      </c>
    </row>
    <row r="3951" spans="1:8" x14ac:dyDescent="0.2">
      <c r="A3951" t="s">
        <v>287</v>
      </c>
      <c r="B3951">
        <v>8.9413043478260867</v>
      </c>
      <c r="C3951" t="s">
        <v>33</v>
      </c>
      <c r="D3951" t="s">
        <v>27</v>
      </c>
      <c r="E3951" t="s">
        <v>15</v>
      </c>
      <c r="F3951" t="s">
        <v>28</v>
      </c>
      <c r="G3951" t="s">
        <v>288</v>
      </c>
      <c r="H3951" t="s">
        <v>34</v>
      </c>
    </row>
    <row r="3952" spans="1:8" x14ac:dyDescent="0.2">
      <c r="A3952" t="s">
        <v>289</v>
      </c>
      <c r="B3952">
        <v>3.973913043478261</v>
      </c>
      <c r="C3952" t="s">
        <v>33</v>
      </c>
      <c r="D3952" t="s">
        <v>27</v>
      </c>
      <c r="E3952" t="s">
        <v>15</v>
      </c>
      <c r="F3952" t="s">
        <v>28</v>
      </c>
      <c r="G3952" t="s">
        <v>290</v>
      </c>
      <c r="H3952" t="s">
        <v>34</v>
      </c>
    </row>
    <row r="3953" spans="1:8" x14ac:dyDescent="0.2">
      <c r="A3953" t="s">
        <v>280</v>
      </c>
      <c r="B3953">
        <v>-39.256349133052737</v>
      </c>
      <c r="C3953" t="s">
        <v>33</v>
      </c>
      <c r="D3953" t="s">
        <v>27</v>
      </c>
      <c r="E3953" t="s">
        <v>15</v>
      </c>
      <c r="F3953" t="s">
        <v>28</v>
      </c>
      <c r="G3953" t="s">
        <v>281</v>
      </c>
      <c r="H3953" t="s">
        <v>282</v>
      </c>
    </row>
    <row r="3954" spans="1:8" x14ac:dyDescent="0.2">
      <c r="A3954" t="s">
        <v>60</v>
      </c>
      <c r="B3954">
        <v>22.083333333333329</v>
      </c>
      <c r="C3954" t="s">
        <v>26</v>
      </c>
      <c r="D3954" t="s">
        <v>27</v>
      </c>
      <c r="E3954" t="s">
        <v>15</v>
      </c>
      <c r="F3954" t="s">
        <v>28</v>
      </c>
      <c r="G3954" t="s">
        <v>54</v>
      </c>
      <c r="H3954" t="s">
        <v>34</v>
      </c>
    </row>
    <row r="3955" spans="1:8" x14ac:dyDescent="0.2">
      <c r="A3955" t="s">
        <v>276</v>
      </c>
      <c r="B3955">
        <v>-682.518115942029</v>
      </c>
      <c r="C3955" t="s">
        <v>33</v>
      </c>
      <c r="D3955" t="s">
        <v>27</v>
      </c>
      <c r="E3955" t="s">
        <v>15</v>
      </c>
      <c r="F3955" t="s">
        <v>28</v>
      </c>
      <c r="G3955" t="s">
        <v>277</v>
      </c>
      <c r="H3955" t="s">
        <v>25</v>
      </c>
    </row>
    <row r="3956" spans="1:8" x14ac:dyDescent="0.2">
      <c r="A3956" t="s">
        <v>501</v>
      </c>
      <c r="B3956">
        <v>-172.54738768012041</v>
      </c>
      <c r="C3956" t="s">
        <v>33</v>
      </c>
      <c r="D3956" t="s">
        <v>27</v>
      </c>
      <c r="E3956" t="s">
        <v>15</v>
      </c>
      <c r="F3956" t="s">
        <v>28</v>
      </c>
      <c r="G3956" t="s">
        <v>502</v>
      </c>
      <c r="H3956" t="s">
        <v>25</v>
      </c>
    </row>
    <row r="3957" spans="1:8" x14ac:dyDescent="0.2">
      <c r="A3957" t="s">
        <v>56</v>
      </c>
      <c r="B3957">
        <v>26.260576336361339</v>
      </c>
      <c r="C3957" t="s">
        <v>63</v>
      </c>
      <c r="D3957" t="s">
        <v>39</v>
      </c>
      <c r="E3957" t="s">
        <v>15</v>
      </c>
      <c r="F3957" t="s">
        <v>28</v>
      </c>
      <c r="G3957" t="s">
        <v>58</v>
      </c>
      <c r="H3957" t="s">
        <v>34</v>
      </c>
    </row>
    <row r="3958" spans="1:8" x14ac:dyDescent="0.2">
      <c r="A3958" t="s">
        <v>332</v>
      </c>
      <c r="B3958">
        <v>1</v>
      </c>
      <c r="C3958" t="s">
        <v>26</v>
      </c>
      <c r="D3958" t="s">
        <v>10</v>
      </c>
      <c r="E3958" t="s">
        <v>15</v>
      </c>
      <c r="F3958" t="s">
        <v>24</v>
      </c>
      <c r="G3958" t="s">
        <v>73</v>
      </c>
      <c r="H3958" t="s">
        <v>25</v>
      </c>
    </row>
    <row r="3961" spans="1:8" ht="16" x14ac:dyDescent="0.2">
      <c r="A3961" s="1" t="s">
        <v>4</v>
      </c>
      <c r="B3961" s="1" t="s">
        <v>389</v>
      </c>
    </row>
    <row r="3962" spans="1:8" x14ac:dyDescent="0.2">
      <c r="A3962" t="s">
        <v>5</v>
      </c>
      <c r="B3962" t="s">
        <v>26</v>
      </c>
    </row>
    <row r="3963" spans="1:8" x14ac:dyDescent="0.2">
      <c r="A3963" t="s">
        <v>6</v>
      </c>
      <c r="B3963">
        <v>1</v>
      </c>
    </row>
    <row r="3964" spans="1:8" x14ac:dyDescent="0.2">
      <c r="A3964" t="s">
        <v>7</v>
      </c>
      <c r="B3964" t="s">
        <v>71</v>
      </c>
    </row>
    <row r="3965" spans="1:8" x14ac:dyDescent="0.2">
      <c r="A3965" t="s">
        <v>8</v>
      </c>
      <c r="B3965" t="s">
        <v>9</v>
      </c>
    </row>
    <row r="3966" spans="1:8" x14ac:dyDescent="0.2">
      <c r="A3966" t="s">
        <v>10</v>
      </c>
      <c r="B3966" t="s">
        <v>10</v>
      </c>
    </row>
    <row r="3967" spans="1:8" x14ac:dyDescent="0.2">
      <c r="A3967" t="s">
        <v>11</v>
      </c>
      <c r="B3967" t="s">
        <v>12</v>
      </c>
    </row>
    <row r="3968" spans="1:8" x14ac:dyDescent="0.2">
      <c r="A3968" t="s">
        <v>13</v>
      </c>
      <c r="B3968" t="s">
        <v>291</v>
      </c>
    </row>
    <row r="3969" spans="1:8" x14ac:dyDescent="0.2">
      <c r="A3969" t="s">
        <v>14</v>
      </c>
      <c r="B3969" t="s">
        <v>271</v>
      </c>
    </row>
    <row r="3970" spans="1:8" x14ac:dyDescent="0.2">
      <c r="A3970" t="s">
        <v>16</v>
      </c>
      <c r="B3970" t="s">
        <v>15</v>
      </c>
    </row>
    <row r="3971" spans="1:8" x14ac:dyDescent="0.2">
      <c r="A3971" t="s">
        <v>17</v>
      </c>
      <c r="B3971" t="s">
        <v>219</v>
      </c>
    </row>
    <row r="3972" spans="1:8" ht="16" x14ac:dyDescent="0.2">
      <c r="A3972" s="1" t="s">
        <v>18</v>
      </c>
    </row>
    <row r="3973" spans="1:8" x14ac:dyDescent="0.2">
      <c r="A3973" t="s">
        <v>19</v>
      </c>
      <c r="B3973" t="s">
        <v>20</v>
      </c>
      <c r="C3973" t="s">
        <v>5</v>
      </c>
      <c r="D3973" t="s">
        <v>10</v>
      </c>
      <c r="E3973" t="s">
        <v>22</v>
      </c>
      <c r="F3973" t="s">
        <v>8</v>
      </c>
      <c r="G3973" t="s">
        <v>7</v>
      </c>
      <c r="H3973" t="s">
        <v>23</v>
      </c>
    </row>
    <row r="3974" spans="1:8" x14ac:dyDescent="0.2">
      <c r="A3974" t="s">
        <v>610</v>
      </c>
      <c r="B3974">
        <f>6.9</f>
        <v>6.9</v>
      </c>
      <c r="C3974" t="s">
        <v>33</v>
      </c>
      <c r="D3974" t="s">
        <v>39</v>
      </c>
      <c r="F3974" t="s">
        <v>28</v>
      </c>
      <c r="G3974" t="s">
        <v>611</v>
      </c>
      <c r="H3974" t="s">
        <v>34</v>
      </c>
    </row>
    <row r="3975" spans="1:8" x14ac:dyDescent="0.2">
      <c r="A3975" t="s">
        <v>61</v>
      </c>
      <c r="B3975">
        <v>37.282608695652179</v>
      </c>
      <c r="C3975" t="s">
        <v>33</v>
      </c>
      <c r="D3975" t="s">
        <v>27</v>
      </c>
      <c r="E3975" t="s">
        <v>15</v>
      </c>
      <c r="F3975" t="s">
        <v>28</v>
      </c>
      <c r="G3975" t="s">
        <v>61</v>
      </c>
      <c r="H3975" t="s">
        <v>62</v>
      </c>
    </row>
    <row r="3976" spans="1:8" x14ac:dyDescent="0.2">
      <c r="A3976" t="s">
        <v>278</v>
      </c>
      <c r="B3976">
        <v>26.7435474832685</v>
      </c>
      <c r="C3976" t="s">
        <v>33</v>
      </c>
      <c r="D3976" t="s">
        <v>27</v>
      </c>
      <c r="E3976" t="s">
        <v>15</v>
      </c>
      <c r="F3976" t="s">
        <v>28</v>
      </c>
      <c r="G3976" t="s">
        <v>279</v>
      </c>
      <c r="H3976" t="s">
        <v>275</v>
      </c>
    </row>
    <row r="3977" spans="1:8" x14ac:dyDescent="0.2">
      <c r="A3977" t="s">
        <v>272</v>
      </c>
      <c r="B3977">
        <v>700</v>
      </c>
      <c r="C3977" t="s">
        <v>33</v>
      </c>
      <c r="D3977" t="s">
        <v>27</v>
      </c>
      <c r="E3977" t="s">
        <v>15</v>
      </c>
      <c r="F3977" t="s">
        <v>28</v>
      </c>
      <c r="G3977" t="s">
        <v>273</v>
      </c>
      <c r="H3977" t="s">
        <v>62</v>
      </c>
    </row>
    <row r="3978" spans="1:8" x14ac:dyDescent="0.2">
      <c r="A3978" t="s">
        <v>274</v>
      </c>
      <c r="B3978">
        <v>174.49785113168389</v>
      </c>
      <c r="C3978" t="s">
        <v>33</v>
      </c>
      <c r="D3978" t="s">
        <v>27</v>
      </c>
      <c r="E3978" t="s">
        <v>15</v>
      </c>
      <c r="F3978" t="s">
        <v>28</v>
      </c>
      <c r="G3978" t="s">
        <v>500</v>
      </c>
      <c r="H3978" t="s">
        <v>275</v>
      </c>
    </row>
    <row r="3979" spans="1:8" x14ac:dyDescent="0.2">
      <c r="A3979" t="s">
        <v>287</v>
      </c>
      <c r="B3979">
        <v>8.9706521739130434</v>
      </c>
      <c r="C3979" t="s">
        <v>33</v>
      </c>
      <c r="D3979" t="s">
        <v>27</v>
      </c>
      <c r="E3979" t="s">
        <v>15</v>
      </c>
      <c r="F3979" t="s">
        <v>28</v>
      </c>
      <c r="G3979" t="s">
        <v>288</v>
      </c>
      <c r="H3979" t="s">
        <v>34</v>
      </c>
    </row>
    <row r="3980" spans="1:8" x14ac:dyDescent="0.2">
      <c r="A3980" t="s">
        <v>289</v>
      </c>
      <c r="B3980">
        <v>3.9869565217391298</v>
      </c>
      <c r="C3980" t="s">
        <v>33</v>
      </c>
      <c r="D3980" t="s">
        <v>27</v>
      </c>
      <c r="E3980" t="s">
        <v>15</v>
      </c>
      <c r="F3980" t="s">
        <v>28</v>
      </c>
      <c r="G3980" t="s">
        <v>290</v>
      </c>
      <c r="H3980" t="s">
        <v>34</v>
      </c>
    </row>
    <row r="3981" spans="1:8" x14ac:dyDescent="0.2">
      <c r="A3981" t="s">
        <v>280</v>
      </c>
      <c r="B3981">
        <v>-39.70115617892067</v>
      </c>
      <c r="C3981" t="s">
        <v>33</v>
      </c>
      <c r="D3981" t="s">
        <v>27</v>
      </c>
      <c r="E3981" t="s">
        <v>15</v>
      </c>
      <c r="F3981" t="s">
        <v>28</v>
      </c>
      <c r="G3981" t="s">
        <v>281</v>
      </c>
      <c r="H3981" t="s">
        <v>282</v>
      </c>
    </row>
    <row r="3982" spans="1:8" x14ac:dyDescent="0.2">
      <c r="A3982" t="s">
        <v>60</v>
      </c>
      <c r="B3982">
        <v>24.520833333333329</v>
      </c>
      <c r="C3982" t="s">
        <v>26</v>
      </c>
      <c r="D3982" t="s">
        <v>27</v>
      </c>
      <c r="E3982" t="s">
        <v>15</v>
      </c>
      <c r="F3982" t="s">
        <v>28</v>
      </c>
      <c r="G3982" t="s">
        <v>54</v>
      </c>
      <c r="H3982" t="s">
        <v>34</v>
      </c>
    </row>
    <row r="3983" spans="1:8" x14ac:dyDescent="0.2">
      <c r="A3983" t="s">
        <v>276</v>
      </c>
      <c r="B3983">
        <v>-687.23822463768124</v>
      </c>
      <c r="C3983" t="s">
        <v>33</v>
      </c>
      <c r="D3983" t="s">
        <v>27</v>
      </c>
      <c r="E3983" t="s">
        <v>15</v>
      </c>
      <c r="F3983" t="s">
        <v>28</v>
      </c>
      <c r="G3983" t="s">
        <v>277</v>
      </c>
      <c r="H3983" t="s">
        <v>25</v>
      </c>
    </row>
    <row r="3984" spans="1:8" x14ac:dyDescent="0.2">
      <c r="A3984" t="s">
        <v>501</v>
      </c>
      <c r="B3984">
        <v>-174.49785113168389</v>
      </c>
      <c r="C3984" t="s">
        <v>33</v>
      </c>
      <c r="D3984" t="s">
        <v>27</v>
      </c>
      <c r="E3984" t="s">
        <v>15</v>
      </c>
      <c r="F3984" t="s">
        <v>28</v>
      </c>
      <c r="G3984" t="s">
        <v>502</v>
      </c>
      <c r="H3984" t="s">
        <v>25</v>
      </c>
    </row>
    <row r="3985" spans="1:8" x14ac:dyDescent="0.2">
      <c r="A3985" t="s">
        <v>56</v>
      </c>
      <c r="B3985">
        <v>41.078296955412767</v>
      </c>
      <c r="C3985" t="s">
        <v>63</v>
      </c>
      <c r="D3985" t="s">
        <v>39</v>
      </c>
      <c r="E3985" t="s">
        <v>15</v>
      </c>
      <c r="F3985" t="s">
        <v>28</v>
      </c>
      <c r="G3985" t="s">
        <v>58</v>
      </c>
      <c r="H3985" t="s">
        <v>34</v>
      </c>
    </row>
    <row r="3986" spans="1:8" x14ac:dyDescent="0.2">
      <c r="A3986" t="s">
        <v>389</v>
      </c>
      <c r="B3986">
        <v>1</v>
      </c>
      <c r="C3986" t="s">
        <v>26</v>
      </c>
      <c r="D3986" t="s">
        <v>10</v>
      </c>
      <c r="E3986" t="s">
        <v>15</v>
      </c>
      <c r="F3986" t="s">
        <v>24</v>
      </c>
      <c r="G3986" t="s">
        <v>71</v>
      </c>
      <c r="H3986" t="s">
        <v>25</v>
      </c>
    </row>
    <row r="3988" spans="1:8" ht="16" x14ac:dyDescent="0.2">
      <c r="A3988" s="1" t="s">
        <v>4</v>
      </c>
      <c r="B3988" s="1" t="s">
        <v>333</v>
      </c>
    </row>
    <row r="3989" spans="1:8" x14ac:dyDescent="0.2">
      <c r="A3989" t="s">
        <v>5</v>
      </c>
      <c r="B3989" t="s">
        <v>26</v>
      </c>
    </row>
    <row r="3990" spans="1:8" x14ac:dyDescent="0.2">
      <c r="A3990" t="s">
        <v>6</v>
      </c>
      <c r="B3990">
        <v>1</v>
      </c>
    </row>
    <row r="3991" spans="1:8" x14ac:dyDescent="0.2">
      <c r="A3991" t="s">
        <v>7</v>
      </c>
      <c r="B3991" t="s">
        <v>73</v>
      </c>
    </row>
    <row r="3992" spans="1:8" x14ac:dyDescent="0.2">
      <c r="A3992" t="s">
        <v>8</v>
      </c>
      <c r="B3992" t="s">
        <v>9</v>
      </c>
    </row>
    <row r="3993" spans="1:8" x14ac:dyDescent="0.2">
      <c r="A3993" t="s">
        <v>10</v>
      </c>
      <c r="B3993" t="s">
        <v>10</v>
      </c>
    </row>
    <row r="3994" spans="1:8" x14ac:dyDescent="0.2">
      <c r="A3994" t="s">
        <v>11</v>
      </c>
      <c r="B3994" t="s">
        <v>12</v>
      </c>
    </row>
    <row r="3995" spans="1:8" x14ac:dyDescent="0.2">
      <c r="A3995" t="s">
        <v>13</v>
      </c>
      <c r="B3995" t="s">
        <v>291</v>
      </c>
    </row>
    <row r="3996" spans="1:8" x14ac:dyDescent="0.2">
      <c r="A3996" t="s">
        <v>14</v>
      </c>
      <c r="B3996" t="s">
        <v>271</v>
      </c>
    </row>
    <row r="3997" spans="1:8" x14ac:dyDescent="0.2">
      <c r="A3997" t="s">
        <v>16</v>
      </c>
      <c r="B3997" t="s">
        <v>15</v>
      </c>
    </row>
    <row r="3998" spans="1:8" x14ac:dyDescent="0.2">
      <c r="A3998" t="s">
        <v>17</v>
      </c>
      <c r="B3998" t="s">
        <v>220</v>
      </c>
    </row>
    <row r="3999" spans="1:8" ht="16" x14ac:dyDescent="0.2">
      <c r="A3999" s="1" t="s">
        <v>18</v>
      </c>
    </row>
    <row r="4000" spans="1:8" x14ac:dyDescent="0.2">
      <c r="A4000" t="s">
        <v>19</v>
      </c>
      <c r="B4000" t="s">
        <v>20</v>
      </c>
      <c r="C4000" t="s">
        <v>5</v>
      </c>
      <c r="D4000" t="s">
        <v>10</v>
      </c>
      <c r="E4000" t="s">
        <v>22</v>
      </c>
      <c r="F4000" t="s">
        <v>8</v>
      </c>
      <c r="G4000" t="s">
        <v>7</v>
      </c>
      <c r="H4000" t="s">
        <v>23</v>
      </c>
    </row>
    <row r="4001" spans="1:8" x14ac:dyDescent="0.2">
      <c r="A4001" t="s">
        <v>610</v>
      </c>
      <c r="B4001">
        <f>6.6*0.2</f>
        <v>1.32</v>
      </c>
      <c r="C4001" t="s">
        <v>33</v>
      </c>
      <c r="D4001" t="s">
        <v>39</v>
      </c>
      <c r="F4001" t="s">
        <v>28</v>
      </c>
      <c r="G4001" t="s">
        <v>611</v>
      </c>
      <c r="H4001" t="s">
        <v>34</v>
      </c>
    </row>
    <row r="4002" spans="1:8" x14ac:dyDescent="0.2">
      <c r="A4002" t="s">
        <v>61</v>
      </c>
      <c r="B4002">
        <v>39.565217391304351</v>
      </c>
      <c r="C4002" t="s">
        <v>33</v>
      </c>
      <c r="D4002" t="s">
        <v>27</v>
      </c>
      <c r="E4002" t="s">
        <v>15</v>
      </c>
      <c r="F4002" t="s">
        <v>28</v>
      </c>
      <c r="G4002" t="s">
        <v>61</v>
      </c>
      <c r="H4002" t="s">
        <v>62</v>
      </c>
    </row>
    <row r="4003" spans="1:8" x14ac:dyDescent="0.2">
      <c r="A4003" t="s">
        <v>278</v>
      </c>
      <c r="B4003">
        <v>26.342840042121811</v>
      </c>
      <c r="C4003" t="s">
        <v>33</v>
      </c>
      <c r="D4003" t="s">
        <v>27</v>
      </c>
      <c r="E4003" t="s">
        <v>15</v>
      </c>
      <c r="F4003" t="s">
        <v>28</v>
      </c>
      <c r="G4003" t="s">
        <v>279</v>
      </c>
      <c r="H4003" t="s">
        <v>275</v>
      </c>
    </row>
    <row r="4004" spans="1:8" x14ac:dyDescent="0.2">
      <c r="A4004" t="s">
        <v>272</v>
      </c>
      <c r="B4004">
        <v>700</v>
      </c>
      <c r="C4004" t="s">
        <v>33</v>
      </c>
      <c r="D4004" t="s">
        <v>27</v>
      </c>
      <c r="E4004" t="s">
        <v>15</v>
      </c>
      <c r="F4004" t="s">
        <v>28</v>
      </c>
      <c r="G4004" t="s">
        <v>273</v>
      </c>
      <c r="H4004" t="s">
        <v>62</v>
      </c>
    </row>
    <row r="4005" spans="1:8" x14ac:dyDescent="0.2">
      <c r="A4005" t="s">
        <v>274</v>
      </c>
      <c r="B4005">
        <v>172.56192308808039</v>
      </c>
      <c r="C4005" t="s">
        <v>33</v>
      </c>
      <c r="D4005" t="s">
        <v>27</v>
      </c>
      <c r="E4005" t="s">
        <v>15</v>
      </c>
      <c r="F4005" t="s">
        <v>28</v>
      </c>
      <c r="G4005" t="s">
        <v>500</v>
      </c>
      <c r="H4005" t="s">
        <v>275</v>
      </c>
    </row>
    <row r="4006" spans="1:8" x14ac:dyDescent="0.2">
      <c r="A4006" t="s">
        <v>287</v>
      </c>
      <c r="B4006">
        <v>8.9413043478260867</v>
      </c>
      <c r="C4006" t="s">
        <v>33</v>
      </c>
      <c r="D4006" t="s">
        <v>27</v>
      </c>
      <c r="E4006" t="s">
        <v>15</v>
      </c>
      <c r="F4006" t="s">
        <v>28</v>
      </c>
      <c r="G4006" t="s">
        <v>288</v>
      </c>
      <c r="H4006" t="s">
        <v>34</v>
      </c>
    </row>
    <row r="4007" spans="1:8" x14ac:dyDescent="0.2">
      <c r="A4007" t="s">
        <v>289</v>
      </c>
      <c r="B4007">
        <v>3.973913043478261</v>
      </c>
      <c r="C4007" t="s">
        <v>33</v>
      </c>
      <c r="D4007" t="s">
        <v>27</v>
      </c>
      <c r="E4007" t="s">
        <v>15</v>
      </c>
      <c r="F4007" t="s">
        <v>28</v>
      </c>
      <c r="G4007" t="s">
        <v>290</v>
      </c>
      <c r="H4007" t="s">
        <v>34</v>
      </c>
    </row>
    <row r="4008" spans="1:8" x14ac:dyDescent="0.2">
      <c r="A4008" t="s">
        <v>280</v>
      </c>
      <c r="B4008">
        <v>-39.25805743342616</v>
      </c>
      <c r="C4008" t="s">
        <v>33</v>
      </c>
      <c r="D4008" t="s">
        <v>27</v>
      </c>
      <c r="E4008" t="s">
        <v>15</v>
      </c>
      <c r="F4008" t="s">
        <v>28</v>
      </c>
      <c r="G4008" t="s">
        <v>281</v>
      </c>
      <c r="H4008" t="s">
        <v>282</v>
      </c>
    </row>
    <row r="4009" spans="1:8" x14ac:dyDescent="0.2">
      <c r="A4009" t="s">
        <v>60</v>
      </c>
      <c r="B4009">
        <v>22.291666666666671</v>
      </c>
      <c r="C4009" t="s">
        <v>26</v>
      </c>
      <c r="D4009" t="s">
        <v>27</v>
      </c>
      <c r="E4009" t="s">
        <v>15</v>
      </c>
      <c r="F4009" t="s">
        <v>28</v>
      </c>
      <c r="G4009" t="s">
        <v>54</v>
      </c>
      <c r="H4009" t="s">
        <v>34</v>
      </c>
    </row>
    <row r="4010" spans="1:8" x14ac:dyDescent="0.2">
      <c r="A4010" t="s">
        <v>276</v>
      </c>
      <c r="B4010">
        <v>-682.72644927536226</v>
      </c>
      <c r="C4010" t="s">
        <v>33</v>
      </c>
      <c r="D4010" t="s">
        <v>27</v>
      </c>
      <c r="E4010" t="s">
        <v>15</v>
      </c>
      <c r="F4010" t="s">
        <v>28</v>
      </c>
      <c r="G4010" t="s">
        <v>277</v>
      </c>
      <c r="H4010" t="s">
        <v>25</v>
      </c>
    </row>
    <row r="4011" spans="1:8" x14ac:dyDescent="0.2">
      <c r="A4011" t="s">
        <v>501</v>
      </c>
      <c r="B4011">
        <v>-172.56192308808039</v>
      </c>
      <c r="C4011" t="s">
        <v>33</v>
      </c>
      <c r="D4011" t="s">
        <v>27</v>
      </c>
      <c r="E4011" t="s">
        <v>15</v>
      </c>
      <c r="F4011" t="s">
        <v>28</v>
      </c>
      <c r="G4011" t="s">
        <v>502</v>
      </c>
      <c r="H4011" t="s">
        <v>25</v>
      </c>
    </row>
    <row r="4012" spans="1:8" x14ac:dyDescent="0.2">
      <c r="A4012" t="s">
        <v>56</v>
      </c>
      <c r="B4012">
        <v>26.2669911785799</v>
      </c>
      <c r="C4012" t="s">
        <v>63</v>
      </c>
      <c r="D4012" t="s">
        <v>39</v>
      </c>
      <c r="E4012" t="s">
        <v>15</v>
      </c>
      <c r="F4012" t="s">
        <v>28</v>
      </c>
      <c r="G4012" t="s">
        <v>58</v>
      </c>
      <c r="H4012" t="s">
        <v>34</v>
      </c>
    </row>
    <row r="4013" spans="1:8" x14ac:dyDescent="0.2">
      <c r="A4013" t="s">
        <v>333</v>
      </c>
      <c r="B4013">
        <v>1</v>
      </c>
      <c r="C4013" t="s">
        <v>26</v>
      </c>
      <c r="D4013" t="s">
        <v>10</v>
      </c>
      <c r="E4013" t="s">
        <v>15</v>
      </c>
      <c r="F4013" t="s">
        <v>24</v>
      </c>
      <c r="G4013" t="s">
        <v>73</v>
      </c>
      <c r="H4013" t="s">
        <v>25</v>
      </c>
    </row>
    <row r="4016" spans="1:8" ht="16" x14ac:dyDescent="0.2">
      <c r="A4016" s="1" t="s">
        <v>4</v>
      </c>
      <c r="B4016" s="1" t="s">
        <v>470</v>
      </c>
    </row>
    <row r="4017" spans="1:8" x14ac:dyDescent="0.2">
      <c r="A4017" t="s">
        <v>5</v>
      </c>
      <c r="B4017" t="s">
        <v>26</v>
      </c>
    </row>
    <row r="4018" spans="1:8" x14ac:dyDescent="0.2">
      <c r="A4018" t="s">
        <v>6</v>
      </c>
      <c r="B4018">
        <v>1</v>
      </c>
    </row>
    <row r="4019" spans="1:8" x14ac:dyDescent="0.2">
      <c r="A4019" t="s">
        <v>7</v>
      </c>
      <c r="B4019" t="s">
        <v>65</v>
      </c>
    </row>
    <row r="4020" spans="1:8" x14ac:dyDescent="0.2">
      <c r="A4020" t="s">
        <v>8</v>
      </c>
      <c r="B4020" t="s">
        <v>9</v>
      </c>
    </row>
    <row r="4021" spans="1:8" x14ac:dyDescent="0.2">
      <c r="A4021" t="s">
        <v>10</v>
      </c>
      <c r="B4021" t="s">
        <v>10</v>
      </c>
    </row>
    <row r="4022" spans="1:8" x14ac:dyDescent="0.2">
      <c r="A4022" t="s">
        <v>11</v>
      </c>
      <c r="B4022" t="s">
        <v>12</v>
      </c>
    </row>
    <row r="4023" spans="1:8" x14ac:dyDescent="0.2">
      <c r="A4023" t="s">
        <v>13</v>
      </c>
      <c r="B4023" t="s">
        <v>291</v>
      </c>
    </row>
    <row r="4024" spans="1:8" x14ac:dyDescent="0.2">
      <c r="A4024" t="s">
        <v>14</v>
      </c>
      <c r="B4024" t="s">
        <v>271</v>
      </c>
    </row>
    <row r="4025" spans="1:8" x14ac:dyDescent="0.2">
      <c r="A4025" t="s">
        <v>16</v>
      </c>
      <c r="B4025" t="s">
        <v>15</v>
      </c>
    </row>
    <row r="4026" spans="1:8" x14ac:dyDescent="0.2">
      <c r="A4026" t="s">
        <v>17</v>
      </c>
      <c r="B4026" t="s">
        <v>221</v>
      </c>
    </row>
    <row r="4027" spans="1:8" ht="16" x14ac:dyDescent="0.2">
      <c r="A4027" s="1" t="s">
        <v>18</v>
      </c>
    </row>
    <row r="4028" spans="1:8" x14ac:dyDescent="0.2">
      <c r="A4028" t="s">
        <v>19</v>
      </c>
      <c r="B4028" t="s">
        <v>20</v>
      </c>
      <c r="C4028" t="s">
        <v>5</v>
      </c>
      <c r="D4028" t="s">
        <v>10</v>
      </c>
      <c r="E4028" t="s">
        <v>22</v>
      </c>
      <c r="F4028" t="s">
        <v>8</v>
      </c>
      <c r="G4028" t="s">
        <v>7</v>
      </c>
      <c r="H4028" t="s">
        <v>23</v>
      </c>
    </row>
    <row r="4029" spans="1:8" x14ac:dyDescent="0.2">
      <c r="A4029" t="s">
        <v>61</v>
      </c>
      <c r="B4029">
        <v>99.75</v>
      </c>
      <c r="C4029" t="s">
        <v>33</v>
      </c>
      <c r="D4029" t="s">
        <v>27</v>
      </c>
      <c r="E4029" t="s">
        <v>15</v>
      </c>
      <c r="F4029" t="s">
        <v>28</v>
      </c>
      <c r="G4029" t="s">
        <v>61</v>
      </c>
      <c r="H4029" t="s">
        <v>62</v>
      </c>
    </row>
    <row r="4030" spans="1:8" x14ac:dyDescent="0.2">
      <c r="A4030" t="s">
        <v>272</v>
      </c>
      <c r="B4030">
        <v>997.5</v>
      </c>
      <c r="C4030" t="s">
        <v>33</v>
      </c>
      <c r="D4030" t="s">
        <v>27</v>
      </c>
      <c r="E4030" t="s">
        <v>15</v>
      </c>
      <c r="F4030" t="s">
        <v>28</v>
      </c>
      <c r="G4030" t="s">
        <v>273</v>
      </c>
      <c r="H4030" t="s">
        <v>62</v>
      </c>
    </row>
    <row r="4031" spans="1:8" x14ac:dyDescent="0.2">
      <c r="A4031" t="s">
        <v>274</v>
      </c>
      <c r="B4031">
        <v>212.22348106679991</v>
      </c>
      <c r="C4031" t="s">
        <v>33</v>
      </c>
      <c r="D4031" t="s">
        <v>27</v>
      </c>
      <c r="E4031" t="s">
        <v>15</v>
      </c>
      <c r="F4031" t="s">
        <v>28</v>
      </c>
      <c r="G4031" t="s">
        <v>500</v>
      </c>
      <c r="H4031" t="s">
        <v>275</v>
      </c>
    </row>
    <row r="4032" spans="1:8" x14ac:dyDescent="0.2">
      <c r="A4032" t="s">
        <v>60</v>
      </c>
      <c r="B4032">
        <v>40.633333333333333</v>
      </c>
      <c r="C4032" t="s">
        <v>26</v>
      </c>
      <c r="D4032" t="s">
        <v>27</v>
      </c>
      <c r="E4032" t="s">
        <v>15</v>
      </c>
      <c r="F4032" t="s">
        <v>28</v>
      </c>
      <c r="G4032" t="s">
        <v>54</v>
      </c>
      <c r="H4032" t="s">
        <v>34</v>
      </c>
    </row>
    <row r="4033" spans="1:8" x14ac:dyDescent="0.2">
      <c r="A4033" t="s">
        <v>276</v>
      </c>
      <c r="B4033">
        <v>-938.38333333333333</v>
      </c>
      <c r="C4033" t="s">
        <v>33</v>
      </c>
      <c r="D4033" t="s">
        <v>27</v>
      </c>
      <c r="E4033" t="s">
        <v>15</v>
      </c>
      <c r="F4033" t="s">
        <v>28</v>
      </c>
      <c r="G4033" t="s">
        <v>277</v>
      </c>
      <c r="H4033" t="s">
        <v>25</v>
      </c>
    </row>
    <row r="4034" spans="1:8" x14ac:dyDescent="0.2">
      <c r="A4034" t="s">
        <v>501</v>
      </c>
      <c r="B4034">
        <v>-212.22348106679991</v>
      </c>
      <c r="C4034" t="s">
        <v>33</v>
      </c>
      <c r="D4034" t="s">
        <v>27</v>
      </c>
      <c r="E4034" t="s">
        <v>15</v>
      </c>
      <c r="F4034" t="s">
        <v>28</v>
      </c>
      <c r="G4034" t="s">
        <v>502</v>
      </c>
      <c r="H4034" t="s">
        <v>25</v>
      </c>
    </row>
    <row r="4035" spans="1:8" x14ac:dyDescent="0.2">
      <c r="A4035" t="s">
        <v>470</v>
      </c>
      <c r="B4035">
        <v>1</v>
      </c>
      <c r="C4035" t="s">
        <v>26</v>
      </c>
      <c r="D4035" t="s">
        <v>10</v>
      </c>
      <c r="E4035" t="s">
        <v>15</v>
      </c>
      <c r="F4035" t="s">
        <v>24</v>
      </c>
      <c r="G4035" t="s">
        <v>65</v>
      </c>
      <c r="H4035" t="s">
        <v>25</v>
      </c>
    </row>
    <row r="4037" spans="1:8" ht="16" x14ac:dyDescent="0.2">
      <c r="A4037" s="1" t="s">
        <v>4</v>
      </c>
      <c r="B4037" s="1" t="s">
        <v>446</v>
      </c>
    </row>
    <row r="4038" spans="1:8" x14ac:dyDescent="0.2">
      <c r="A4038" t="s">
        <v>5</v>
      </c>
      <c r="B4038" t="s">
        <v>26</v>
      </c>
    </row>
    <row r="4039" spans="1:8" x14ac:dyDescent="0.2">
      <c r="A4039" t="s">
        <v>6</v>
      </c>
      <c r="B4039">
        <v>1</v>
      </c>
    </row>
    <row r="4040" spans="1:8" x14ac:dyDescent="0.2">
      <c r="A4040" t="s">
        <v>7</v>
      </c>
      <c r="B4040" t="s">
        <v>67</v>
      </c>
    </row>
    <row r="4041" spans="1:8" x14ac:dyDescent="0.2">
      <c r="A4041" t="s">
        <v>8</v>
      </c>
      <c r="B4041" t="s">
        <v>9</v>
      </c>
    </row>
    <row r="4042" spans="1:8" x14ac:dyDescent="0.2">
      <c r="A4042" t="s">
        <v>10</v>
      </c>
      <c r="B4042" t="s">
        <v>10</v>
      </c>
    </row>
    <row r="4043" spans="1:8" x14ac:dyDescent="0.2">
      <c r="A4043" t="s">
        <v>11</v>
      </c>
      <c r="B4043" t="s">
        <v>12</v>
      </c>
    </row>
    <row r="4044" spans="1:8" x14ac:dyDescent="0.2">
      <c r="A4044" t="s">
        <v>13</v>
      </c>
      <c r="B4044" t="s">
        <v>291</v>
      </c>
    </row>
    <row r="4045" spans="1:8" x14ac:dyDescent="0.2">
      <c r="A4045" t="s">
        <v>14</v>
      </c>
      <c r="B4045" t="s">
        <v>271</v>
      </c>
    </row>
    <row r="4046" spans="1:8" x14ac:dyDescent="0.2">
      <c r="A4046" t="s">
        <v>16</v>
      </c>
      <c r="B4046" t="s">
        <v>15</v>
      </c>
    </row>
    <row r="4047" spans="1:8" x14ac:dyDescent="0.2">
      <c r="A4047" t="s">
        <v>17</v>
      </c>
      <c r="B4047" t="s">
        <v>222</v>
      </c>
    </row>
    <row r="4048" spans="1:8" ht="16" x14ac:dyDescent="0.2">
      <c r="A4048" s="1" t="s">
        <v>18</v>
      </c>
    </row>
    <row r="4049" spans="1:8" x14ac:dyDescent="0.2">
      <c r="A4049" t="s">
        <v>19</v>
      </c>
      <c r="B4049" t="s">
        <v>20</v>
      </c>
      <c r="C4049" t="s">
        <v>5</v>
      </c>
      <c r="D4049" t="s">
        <v>10</v>
      </c>
      <c r="E4049" t="s">
        <v>22</v>
      </c>
      <c r="F4049" t="s">
        <v>8</v>
      </c>
      <c r="G4049" t="s">
        <v>7</v>
      </c>
      <c r="H4049" t="s">
        <v>23</v>
      </c>
    </row>
    <row r="4050" spans="1:8" x14ac:dyDescent="0.2">
      <c r="A4050" t="s">
        <v>61</v>
      </c>
      <c r="B4050">
        <v>99.75</v>
      </c>
      <c r="C4050" t="s">
        <v>33</v>
      </c>
      <c r="D4050" t="s">
        <v>27</v>
      </c>
      <c r="E4050" t="s">
        <v>15</v>
      </c>
      <c r="F4050" t="s">
        <v>28</v>
      </c>
      <c r="G4050" t="s">
        <v>61</v>
      </c>
      <c r="H4050" t="s">
        <v>62</v>
      </c>
    </row>
    <row r="4051" spans="1:8" x14ac:dyDescent="0.2">
      <c r="A4051" t="s">
        <v>272</v>
      </c>
      <c r="B4051">
        <v>997.5</v>
      </c>
      <c r="C4051" t="s">
        <v>33</v>
      </c>
      <c r="D4051" t="s">
        <v>27</v>
      </c>
      <c r="E4051" t="s">
        <v>15</v>
      </c>
      <c r="F4051" t="s">
        <v>28</v>
      </c>
      <c r="G4051" t="s">
        <v>273</v>
      </c>
      <c r="H4051" t="s">
        <v>62</v>
      </c>
    </row>
    <row r="4052" spans="1:8" x14ac:dyDescent="0.2">
      <c r="A4052" t="s">
        <v>274</v>
      </c>
      <c r="B4052">
        <v>211.55728278515579</v>
      </c>
      <c r="C4052" t="s">
        <v>33</v>
      </c>
      <c r="D4052" t="s">
        <v>27</v>
      </c>
      <c r="E4052" t="s">
        <v>15</v>
      </c>
      <c r="F4052" t="s">
        <v>28</v>
      </c>
      <c r="G4052" t="s">
        <v>500</v>
      </c>
      <c r="H4052" t="s">
        <v>275</v>
      </c>
    </row>
    <row r="4053" spans="1:8" x14ac:dyDescent="0.2">
      <c r="A4053" t="s">
        <v>60</v>
      </c>
      <c r="B4053">
        <v>37.099999999999987</v>
      </c>
      <c r="C4053" t="s">
        <v>26</v>
      </c>
      <c r="D4053" t="s">
        <v>27</v>
      </c>
      <c r="E4053" t="s">
        <v>15</v>
      </c>
      <c r="F4053" t="s">
        <v>28</v>
      </c>
      <c r="G4053" t="s">
        <v>54</v>
      </c>
      <c r="H4053" t="s">
        <v>34</v>
      </c>
    </row>
    <row r="4054" spans="1:8" x14ac:dyDescent="0.2">
      <c r="A4054" t="s">
        <v>276</v>
      </c>
      <c r="B4054">
        <v>-934.85</v>
      </c>
      <c r="C4054" t="s">
        <v>33</v>
      </c>
      <c r="D4054" t="s">
        <v>27</v>
      </c>
      <c r="E4054" t="s">
        <v>15</v>
      </c>
      <c r="F4054" t="s">
        <v>28</v>
      </c>
      <c r="G4054" t="s">
        <v>277</v>
      </c>
      <c r="H4054" t="s">
        <v>25</v>
      </c>
    </row>
    <row r="4055" spans="1:8" x14ac:dyDescent="0.2">
      <c r="A4055" t="s">
        <v>501</v>
      </c>
      <c r="B4055">
        <v>-211.55728278515579</v>
      </c>
      <c r="C4055" t="s">
        <v>33</v>
      </c>
      <c r="D4055" t="s">
        <v>27</v>
      </c>
      <c r="E4055" t="s">
        <v>15</v>
      </c>
      <c r="F4055" t="s">
        <v>28</v>
      </c>
      <c r="G4055" t="s">
        <v>502</v>
      </c>
      <c r="H4055" t="s">
        <v>25</v>
      </c>
    </row>
    <row r="4056" spans="1:8" x14ac:dyDescent="0.2">
      <c r="A4056" t="s">
        <v>446</v>
      </c>
      <c r="B4056">
        <v>1</v>
      </c>
      <c r="C4056" t="s">
        <v>26</v>
      </c>
      <c r="D4056" t="s">
        <v>10</v>
      </c>
      <c r="E4056" t="s">
        <v>15</v>
      </c>
      <c r="F4056" t="s">
        <v>24</v>
      </c>
      <c r="G4056" t="s">
        <v>67</v>
      </c>
      <c r="H4056" t="s">
        <v>25</v>
      </c>
    </row>
    <row r="4058" spans="1:8" ht="16" x14ac:dyDescent="0.2">
      <c r="A4058" s="1" t="s">
        <v>4</v>
      </c>
      <c r="B4058" s="1" t="s">
        <v>422</v>
      </c>
    </row>
    <row r="4059" spans="1:8" x14ac:dyDescent="0.2">
      <c r="A4059" t="s">
        <v>5</v>
      </c>
      <c r="B4059" t="s">
        <v>26</v>
      </c>
    </row>
    <row r="4060" spans="1:8" x14ac:dyDescent="0.2">
      <c r="A4060" t="s">
        <v>6</v>
      </c>
      <c r="B4060">
        <v>1</v>
      </c>
    </row>
    <row r="4061" spans="1:8" x14ac:dyDescent="0.2">
      <c r="A4061" t="s">
        <v>7</v>
      </c>
      <c r="B4061" t="s">
        <v>69</v>
      </c>
    </row>
    <row r="4062" spans="1:8" x14ac:dyDescent="0.2">
      <c r="A4062" t="s">
        <v>8</v>
      </c>
      <c r="B4062" t="s">
        <v>9</v>
      </c>
    </row>
    <row r="4063" spans="1:8" x14ac:dyDescent="0.2">
      <c r="A4063" t="s">
        <v>10</v>
      </c>
      <c r="B4063" t="s">
        <v>10</v>
      </c>
    </row>
    <row r="4064" spans="1:8" x14ac:dyDescent="0.2">
      <c r="A4064" t="s">
        <v>11</v>
      </c>
      <c r="B4064" t="s">
        <v>12</v>
      </c>
    </row>
    <row r="4065" spans="1:8" x14ac:dyDescent="0.2">
      <c r="A4065" t="s">
        <v>13</v>
      </c>
      <c r="B4065" t="s">
        <v>291</v>
      </c>
    </row>
    <row r="4066" spans="1:8" x14ac:dyDescent="0.2">
      <c r="A4066" t="s">
        <v>14</v>
      </c>
      <c r="B4066" t="s">
        <v>271</v>
      </c>
    </row>
    <row r="4067" spans="1:8" x14ac:dyDescent="0.2">
      <c r="A4067" t="s">
        <v>16</v>
      </c>
      <c r="B4067" t="s">
        <v>15</v>
      </c>
    </row>
    <row r="4068" spans="1:8" x14ac:dyDescent="0.2">
      <c r="A4068" t="s">
        <v>17</v>
      </c>
      <c r="B4068" t="s">
        <v>223</v>
      </c>
    </row>
    <row r="4069" spans="1:8" ht="16" x14ac:dyDescent="0.2">
      <c r="A4069" s="1" t="s">
        <v>18</v>
      </c>
    </row>
    <row r="4070" spans="1:8" x14ac:dyDescent="0.2">
      <c r="A4070" t="s">
        <v>19</v>
      </c>
      <c r="B4070" t="s">
        <v>20</v>
      </c>
      <c r="C4070" t="s">
        <v>5</v>
      </c>
      <c r="D4070" t="s">
        <v>10</v>
      </c>
      <c r="E4070" t="s">
        <v>22</v>
      </c>
      <c r="F4070" t="s">
        <v>8</v>
      </c>
      <c r="G4070" t="s">
        <v>7</v>
      </c>
      <c r="H4070" t="s">
        <v>23</v>
      </c>
    </row>
    <row r="4071" spans="1:8" x14ac:dyDescent="0.2">
      <c r="A4071" t="s">
        <v>61</v>
      </c>
      <c r="B4071">
        <v>99.75</v>
      </c>
      <c r="C4071" t="s">
        <v>33</v>
      </c>
      <c r="D4071" t="s">
        <v>27</v>
      </c>
      <c r="E4071" t="s">
        <v>15</v>
      </c>
      <c r="F4071" t="s">
        <v>28</v>
      </c>
      <c r="G4071" t="s">
        <v>61</v>
      </c>
      <c r="H4071" t="s">
        <v>62</v>
      </c>
    </row>
    <row r="4072" spans="1:8" x14ac:dyDescent="0.2">
      <c r="A4072" t="s">
        <v>272</v>
      </c>
      <c r="B4072">
        <v>997.5</v>
      </c>
      <c r="C4072" t="s">
        <v>33</v>
      </c>
      <c r="D4072" t="s">
        <v>27</v>
      </c>
      <c r="E4072" t="s">
        <v>15</v>
      </c>
      <c r="F4072" t="s">
        <v>28</v>
      </c>
      <c r="G4072" t="s">
        <v>273</v>
      </c>
      <c r="H4072" t="s">
        <v>62</v>
      </c>
    </row>
    <row r="4073" spans="1:8" x14ac:dyDescent="0.2">
      <c r="A4073" t="s">
        <v>274</v>
      </c>
      <c r="B4073">
        <v>210.89108450351159</v>
      </c>
      <c r="C4073" t="s">
        <v>33</v>
      </c>
      <c r="D4073" t="s">
        <v>27</v>
      </c>
      <c r="E4073" t="s">
        <v>15</v>
      </c>
      <c r="F4073" t="s">
        <v>28</v>
      </c>
      <c r="G4073" t="s">
        <v>500</v>
      </c>
      <c r="H4073" t="s">
        <v>275</v>
      </c>
    </row>
    <row r="4074" spans="1:8" x14ac:dyDescent="0.2">
      <c r="A4074" t="s">
        <v>60</v>
      </c>
      <c r="B4074">
        <v>33.566666666666663</v>
      </c>
      <c r="C4074" t="s">
        <v>26</v>
      </c>
      <c r="D4074" t="s">
        <v>27</v>
      </c>
      <c r="E4074" t="s">
        <v>15</v>
      </c>
      <c r="F4074" t="s">
        <v>28</v>
      </c>
      <c r="G4074" t="s">
        <v>54</v>
      </c>
      <c r="H4074" t="s">
        <v>34</v>
      </c>
    </row>
    <row r="4075" spans="1:8" x14ac:dyDescent="0.2">
      <c r="A4075" t="s">
        <v>276</v>
      </c>
      <c r="B4075">
        <v>-931.31666666666661</v>
      </c>
      <c r="C4075" t="s">
        <v>33</v>
      </c>
      <c r="D4075" t="s">
        <v>27</v>
      </c>
      <c r="E4075" t="s">
        <v>15</v>
      </c>
      <c r="F4075" t="s">
        <v>28</v>
      </c>
      <c r="G4075" t="s">
        <v>277</v>
      </c>
      <c r="H4075" t="s">
        <v>25</v>
      </c>
    </row>
    <row r="4076" spans="1:8" x14ac:dyDescent="0.2">
      <c r="A4076" t="s">
        <v>501</v>
      </c>
      <c r="B4076">
        <v>-210.89108450351159</v>
      </c>
      <c r="C4076" t="s">
        <v>33</v>
      </c>
      <c r="D4076" t="s">
        <v>27</v>
      </c>
      <c r="E4076" t="s">
        <v>15</v>
      </c>
      <c r="F4076" t="s">
        <v>28</v>
      </c>
      <c r="G4076" t="s">
        <v>502</v>
      </c>
      <c r="H4076" t="s">
        <v>25</v>
      </c>
    </row>
    <row r="4077" spans="1:8" x14ac:dyDescent="0.2">
      <c r="A4077" t="s">
        <v>422</v>
      </c>
      <c r="B4077">
        <v>1</v>
      </c>
      <c r="C4077" t="s">
        <v>26</v>
      </c>
      <c r="D4077" t="s">
        <v>10</v>
      </c>
      <c r="E4077" t="s">
        <v>15</v>
      </c>
      <c r="F4077" t="s">
        <v>24</v>
      </c>
      <c r="G4077" t="s">
        <v>69</v>
      </c>
      <c r="H4077" t="s">
        <v>25</v>
      </c>
    </row>
    <row r="4079" spans="1:8" ht="16" x14ac:dyDescent="0.2">
      <c r="A4079" s="1" t="s">
        <v>4</v>
      </c>
      <c r="B4079" s="1" t="s">
        <v>390</v>
      </c>
    </row>
    <row r="4080" spans="1:8" x14ac:dyDescent="0.2">
      <c r="A4080" t="s">
        <v>5</v>
      </c>
      <c r="B4080" t="s">
        <v>26</v>
      </c>
    </row>
    <row r="4081" spans="1:8" x14ac:dyDescent="0.2">
      <c r="A4081" t="s">
        <v>6</v>
      </c>
      <c r="B4081">
        <v>1</v>
      </c>
    </row>
    <row r="4082" spans="1:8" x14ac:dyDescent="0.2">
      <c r="A4082" t="s">
        <v>7</v>
      </c>
      <c r="B4082" t="s">
        <v>71</v>
      </c>
    </row>
    <row r="4083" spans="1:8" x14ac:dyDescent="0.2">
      <c r="A4083" t="s">
        <v>8</v>
      </c>
      <c r="B4083" t="s">
        <v>9</v>
      </c>
    </row>
    <row r="4084" spans="1:8" x14ac:dyDescent="0.2">
      <c r="A4084" t="s">
        <v>10</v>
      </c>
      <c r="B4084" t="s">
        <v>10</v>
      </c>
    </row>
    <row r="4085" spans="1:8" x14ac:dyDescent="0.2">
      <c r="A4085" t="s">
        <v>11</v>
      </c>
      <c r="B4085" t="s">
        <v>12</v>
      </c>
    </row>
    <row r="4086" spans="1:8" x14ac:dyDescent="0.2">
      <c r="A4086" t="s">
        <v>13</v>
      </c>
      <c r="B4086" t="s">
        <v>291</v>
      </c>
    </row>
    <row r="4087" spans="1:8" x14ac:dyDescent="0.2">
      <c r="A4087" t="s">
        <v>14</v>
      </c>
      <c r="B4087" t="s">
        <v>271</v>
      </c>
    </row>
    <row r="4088" spans="1:8" x14ac:dyDescent="0.2">
      <c r="A4088" t="s">
        <v>16</v>
      </c>
      <c r="B4088" t="s">
        <v>15</v>
      </c>
    </row>
    <row r="4089" spans="1:8" x14ac:dyDescent="0.2">
      <c r="A4089" t="s">
        <v>17</v>
      </c>
      <c r="B4089" t="s">
        <v>224</v>
      </c>
    </row>
    <row r="4090" spans="1:8" ht="16" x14ac:dyDescent="0.2">
      <c r="A4090" s="1" t="s">
        <v>18</v>
      </c>
    </row>
    <row r="4091" spans="1:8" x14ac:dyDescent="0.2">
      <c r="A4091" t="s">
        <v>19</v>
      </c>
      <c r="B4091" t="s">
        <v>20</v>
      </c>
      <c r="C4091" t="s">
        <v>5</v>
      </c>
      <c r="D4091" t="s">
        <v>10</v>
      </c>
      <c r="E4091" t="s">
        <v>22</v>
      </c>
      <c r="F4091" t="s">
        <v>8</v>
      </c>
      <c r="G4091" t="s">
        <v>7</v>
      </c>
      <c r="H4091" t="s">
        <v>23</v>
      </c>
    </row>
    <row r="4092" spans="1:8" x14ac:dyDescent="0.2">
      <c r="A4092" t="s">
        <v>61</v>
      </c>
      <c r="B4092">
        <v>103.0027173913044</v>
      </c>
      <c r="C4092" t="s">
        <v>33</v>
      </c>
      <c r="D4092" t="s">
        <v>27</v>
      </c>
      <c r="E4092" t="s">
        <v>15</v>
      </c>
      <c r="F4092" t="s">
        <v>28</v>
      </c>
      <c r="G4092" t="s">
        <v>61</v>
      </c>
      <c r="H4092" t="s">
        <v>62</v>
      </c>
    </row>
    <row r="4093" spans="1:8" x14ac:dyDescent="0.2">
      <c r="A4093" t="s">
        <v>272</v>
      </c>
      <c r="B4093">
        <v>997.5</v>
      </c>
      <c r="C4093" t="s">
        <v>33</v>
      </c>
      <c r="D4093" t="s">
        <v>27</v>
      </c>
      <c r="E4093" t="s">
        <v>15</v>
      </c>
      <c r="F4093" t="s">
        <v>28</v>
      </c>
      <c r="G4093" t="s">
        <v>273</v>
      </c>
      <c r="H4093" t="s">
        <v>62</v>
      </c>
    </row>
    <row r="4094" spans="1:8" x14ac:dyDescent="0.2">
      <c r="A4094" t="s">
        <v>274</v>
      </c>
      <c r="B4094">
        <v>208.99650879537441</v>
      </c>
      <c r="C4094" t="s">
        <v>33</v>
      </c>
      <c r="D4094" t="s">
        <v>27</v>
      </c>
      <c r="E4094" t="s">
        <v>15</v>
      </c>
      <c r="F4094" t="s">
        <v>28</v>
      </c>
      <c r="G4094" t="s">
        <v>500</v>
      </c>
      <c r="H4094" t="s">
        <v>275</v>
      </c>
    </row>
    <row r="4095" spans="1:8" x14ac:dyDescent="0.2">
      <c r="A4095" t="s">
        <v>60</v>
      </c>
      <c r="B4095">
        <v>33.566666666666663</v>
      </c>
      <c r="C4095" t="s">
        <v>26</v>
      </c>
      <c r="D4095" t="s">
        <v>27</v>
      </c>
      <c r="E4095" t="s">
        <v>15</v>
      </c>
      <c r="F4095" t="s">
        <v>28</v>
      </c>
      <c r="G4095" t="s">
        <v>54</v>
      </c>
      <c r="H4095" t="s">
        <v>34</v>
      </c>
    </row>
    <row r="4096" spans="1:8" x14ac:dyDescent="0.2">
      <c r="A4096" t="s">
        <v>276</v>
      </c>
      <c r="B4096">
        <v>-928.06394927536235</v>
      </c>
      <c r="C4096" t="s">
        <v>33</v>
      </c>
      <c r="D4096" t="s">
        <v>27</v>
      </c>
      <c r="E4096" t="s">
        <v>15</v>
      </c>
      <c r="F4096" t="s">
        <v>28</v>
      </c>
      <c r="G4096" t="s">
        <v>277</v>
      </c>
      <c r="H4096" t="s">
        <v>25</v>
      </c>
    </row>
    <row r="4097" spans="1:8" x14ac:dyDescent="0.2">
      <c r="A4097" t="s">
        <v>501</v>
      </c>
      <c r="B4097">
        <v>-208.99650879537441</v>
      </c>
      <c r="C4097" t="s">
        <v>33</v>
      </c>
      <c r="D4097" t="s">
        <v>27</v>
      </c>
      <c r="E4097" t="s">
        <v>15</v>
      </c>
      <c r="F4097" t="s">
        <v>28</v>
      </c>
      <c r="G4097" t="s">
        <v>502</v>
      </c>
      <c r="H4097" t="s">
        <v>25</v>
      </c>
    </row>
    <row r="4098" spans="1:8" x14ac:dyDescent="0.2">
      <c r="A4098" t="s">
        <v>390</v>
      </c>
      <c r="B4098">
        <v>1</v>
      </c>
      <c r="C4098" t="s">
        <v>26</v>
      </c>
      <c r="D4098" t="s">
        <v>10</v>
      </c>
      <c r="E4098" t="s">
        <v>15</v>
      </c>
      <c r="F4098" t="s">
        <v>24</v>
      </c>
      <c r="G4098" t="s">
        <v>71</v>
      </c>
      <c r="H4098" t="s">
        <v>25</v>
      </c>
    </row>
    <row r="4100" spans="1:8" ht="16" x14ac:dyDescent="0.2">
      <c r="A4100" s="1" t="s">
        <v>4</v>
      </c>
      <c r="B4100" s="1" t="s">
        <v>334</v>
      </c>
    </row>
    <row r="4101" spans="1:8" x14ac:dyDescent="0.2">
      <c r="A4101" t="s">
        <v>5</v>
      </c>
      <c r="B4101" t="s">
        <v>26</v>
      </c>
    </row>
    <row r="4102" spans="1:8" x14ac:dyDescent="0.2">
      <c r="A4102" t="s">
        <v>6</v>
      </c>
      <c r="B4102">
        <v>1</v>
      </c>
    </row>
    <row r="4103" spans="1:8" x14ac:dyDescent="0.2">
      <c r="A4103" t="s">
        <v>7</v>
      </c>
      <c r="B4103" t="s">
        <v>73</v>
      </c>
    </row>
    <row r="4104" spans="1:8" x14ac:dyDescent="0.2">
      <c r="A4104" t="s">
        <v>8</v>
      </c>
      <c r="B4104" t="s">
        <v>9</v>
      </c>
    </row>
    <row r="4105" spans="1:8" x14ac:dyDescent="0.2">
      <c r="A4105" t="s">
        <v>10</v>
      </c>
      <c r="B4105" t="s">
        <v>10</v>
      </c>
    </row>
    <row r="4106" spans="1:8" x14ac:dyDescent="0.2">
      <c r="A4106" t="s">
        <v>11</v>
      </c>
      <c r="B4106" t="s">
        <v>12</v>
      </c>
    </row>
    <row r="4107" spans="1:8" x14ac:dyDescent="0.2">
      <c r="A4107" t="s">
        <v>13</v>
      </c>
      <c r="B4107" t="s">
        <v>291</v>
      </c>
    </row>
    <row r="4108" spans="1:8" x14ac:dyDescent="0.2">
      <c r="A4108" t="s">
        <v>14</v>
      </c>
      <c r="B4108" t="s">
        <v>271</v>
      </c>
    </row>
    <row r="4109" spans="1:8" x14ac:dyDescent="0.2">
      <c r="A4109" t="s">
        <v>16</v>
      </c>
      <c r="B4109" t="s">
        <v>15</v>
      </c>
    </row>
    <row r="4110" spans="1:8" x14ac:dyDescent="0.2">
      <c r="A4110" t="s">
        <v>17</v>
      </c>
      <c r="B4110" t="s">
        <v>225</v>
      </c>
    </row>
    <row r="4111" spans="1:8" ht="16" x14ac:dyDescent="0.2">
      <c r="A4111" s="1" t="s">
        <v>18</v>
      </c>
    </row>
    <row r="4112" spans="1:8" x14ac:dyDescent="0.2">
      <c r="A4112" t="s">
        <v>19</v>
      </c>
      <c r="B4112" t="s">
        <v>20</v>
      </c>
      <c r="C4112" t="s">
        <v>5</v>
      </c>
      <c r="D4112" t="s">
        <v>10</v>
      </c>
      <c r="E4112" t="s">
        <v>22</v>
      </c>
      <c r="F4112" t="s">
        <v>8</v>
      </c>
      <c r="G4112" t="s">
        <v>7</v>
      </c>
      <c r="H4112" t="s">
        <v>23</v>
      </c>
    </row>
    <row r="4113" spans="1:8" x14ac:dyDescent="0.2">
      <c r="A4113" t="s">
        <v>61</v>
      </c>
      <c r="B4113">
        <v>106.2554347826087</v>
      </c>
      <c r="C4113" t="s">
        <v>33</v>
      </c>
      <c r="D4113" t="s">
        <v>27</v>
      </c>
      <c r="E4113" t="s">
        <v>15</v>
      </c>
      <c r="F4113" t="s">
        <v>28</v>
      </c>
      <c r="G4113" t="s">
        <v>61</v>
      </c>
      <c r="H4113" t="s">
        <v>62</v>
      </c>
    </row>
    <row r="4114" spans="1:8" x14ac:dyDescent="0.2">
      <c r="A4114" t="s">
        <v>272</v>
      </c>
      <c r="B4114">
        <v>997.5</v>
      </c>
      <c r="C4114" t="s">
        <v>33</v>
      </c>
      <c r="D4114" t="s">
        <v>27</v>
      </c>
      <c r="E4114" t="s">
        <v>15</v>
      </c>
      <c r="F4114" t="s">
        <v>28</v>
      </c>
      <c r="G4114" t="s">
        <v>273</v>
      </c>
      <c r="H4114" t="s">
        <v>62</v>
      </c>
    </row>
    <row r="4115" spans="1:8" x14ac:dyDescent="0.2">
      <c r="A4115" t="s">
        <v>274</v>
      </c>
      <c r="B4115">
        <v>207.10667785774501</v>
      </c>
      <c r="C4115" t="s">
        <v>33</v>
      </c>
      <c r="D4115" t="s">
        <v>27</v>
      </c>
      <c r="E4115" t="s">
        <v>15</v>
      </c>
      <c r="F4115" t="s">
        <v>28</v>
      </c>
      <c r="G4115" t="s">
        <v>500</v>
      </c>
      <c r="H4115" t="s">
        <v>275</v>
      </c>
    </row>
    <row r="4116" spans="1:8" x14ac:dyDescent="0.2">
      <c r="A4116" t="s">
        <v>60</v>
      </c>
      <c r="B4116">
        <v>33.566666666666663</v>
      </c>
      <c r="C4116" t="s">
        <v>26</v>
      </c>
      <c r="D4116" t="s">
        <v>27</v>
      </c>
      <c r="E4116" t="s">
        <v>15</v>
      </c>
      <c r="F4116" t="s">
        <v>28</v>
      </c>
      <c r="G4116" t="s">
        <v>54</v>
      </c>
      <c r="H4116" t="s">
        <v>34</v>
      </c>
    </row>
    <row r="4117" spans="1:8" x14ac:dyDescent="0.2">
      <c r="A4117" t="s">
        <v>276</v>
      </c>
      <c r="B4117">
        <v>-924.81123188405786</v>
      </c>
      <c r="C4117" t="s">
        <v>33</v>
      </c>
      <c r="D4117" t="s">
        <v>27</v>
      </c>
      <c r="E4117" t="s">
        <v>15</v>
      </c>
      <c r="F4117" t="s">
        <v>28</v>
      </c>
      <c r="G4117" t="s">
        <v>277</v>
      </c>
      <c r="H4117" t="s">
        <v>25</v>
      </c>
    </row>
    <row r="4118" spans="1:8" x14ac:dyDescent="0.2">
      <c r="A4118" t="s">
        <v>501</v>
      </c>
      <c r="B4118">
        <v>-207.10667785774501</v>
      </c>
      <c r="C4118" t="s">
        <v>33</v>
      </c>
      <c r="D4118" t="s">
        <v>27</v>
      </c>
      <c r="E4118" t="s">
        <v>15</v>
      </c>
      <c r="F4118" t="s">
        <v>28</v>
      </c>
      <c r="G4118" t="s">
        <v>502</v>
      </c>
      <c r="H4118" t="s">
        <v>25</v>
      </c>
    </row>
    <row r="4119" spans="1:8" x14ac:dyDescent="0.2">
      <c r="A4119" t="s">
        <v>334</v>
      </c>
      <c r="B4119">
        <v>1</v>
      </c>
      <c r="C4119" t="s">
        <v>26</v>
      </c>
      <c r="D4119" t="s">
        <v>10</v>
      </c>
      <c r="E4119" t="s">
        <v>15</v>
      </c>
      <c r="F4119" t="s">
        <v>24</v>
      </c>
      <c r="G4119" t="s">
        <v>73</v>
      </c>
      <c r="H4119" t="s">
        <v>25</v>
      </c>
    </row>
    <row r="4122" spans="1:8" ht="16" x14ac:dyDescent="0.2">
      <c r="A4122" s="1" t="s">
        <v>4</v>
      </c>
      <c r="B4122" s="1" t="s">
        <v>471</v>
      </c>
    </row>
    <row r="4123" spans="1:8" x14ac:dyDescent="0.2">
      <c r="A4123" t="s">
        <v>5</v>
      </c>
      <c r="B4123" t="s">
        <v>26</v>
      </c>
    </row>
    <row r="4124" spans="1:8" x14ac:dyDescent="0.2">
      <c r="A4124" t="s">
        <v>6</v>
      </c>
      <c r="B4124">
        <v>1</v>
      </c>
    </row>
    <row r="4125" spans="1:8" x14ac:dyDescent="0.2">
      <c r="A4125" t="s">
        <v>7</v>
      </c>
      <c r="B4125" t="s">
        <v>65</v>
      </c>
    </row>
    <row r="4126" spans="1:8" x14ac:dyDescent="0.2">
      <c r="A4126" t="s">
        <v>8</v>
      </c>
      <c r="B4126" t="s">
        <v>9</v>
      </c>
    </row>
    <row r="4127" spans="1:8" x14ac:dyDescent="0.2">
      <c r="A4127" t="s">
        <v>10</v>
      </c>
      <c r="B4127" t="s">
        <v>10</v>
      </c>
    </row>
    <row r="4128" spans="1:8" x14ac:dyDescent="0.2">
      <c r="A4128" t="s">
        <v>11</v>
      </c>
      <c r="B4128" t="s">
        <v>12</v>
      </c>
    </row>
    <row r="4129" spans="1:8" x14ac:dyDescent="0.2">
      <c r="A4129" t="s">
        <v>13</v>
      </c>
      <c r="B4129" t="s">
        <v>291</v>
      </c>
    </row>
    <row r="4130" spans="1:8" x14ac:dyDescent="0.2">
      <c r="A4130" t="s">
        <v>14</v>
      </c>
      <c r="B4130" t="s">
        <v>271</v>
      </c>
    </row>
    <row r="4131" spans="1:8" x14ac:dyDescent="0.2">
      <c r="A4131" t="s">
        <v>16</v>
      </c>
      <c r="B4131" t="s">
        <v>15</v>
      </c>
    </row>
    <row r="4132" spans="1:8" x14ac:dyDescent="0.2">
      <c r="A4132" t="s">
        <v>17</v>
      </c>
      <c r="B4132" t="s">
        <v>226</v>
      </c>
    </row>
    <row r="4133" spans="1:8" ht="16" x14ac:dyDescent="0.2">
      <c r="A4133" s="1" t="s">
        <v>18</v>
      </c>
    </row>
    <row r="4134" spans="1:8" x14ac:dyDescent="0.2">
      <c r="A4134" t="s">
        <v>19</v>
      </c>
      <c r="B4134" t="s">
        <v>20</v>
      </c>
      <c r="C4134" t="s">
        <v>5</v>
      </c>
      <c r="D4134" t="s">
        <v>10</v>
      </c>
      <c r="E4134" t="s">
        <v>22</v>
      </c>
      <c r="F4134" t="s">
        <v>8</v>
      </c>
      <c r="G4134" t="s">
        <v>7</v>
      </c>
      <c r="H4134" t="s">
        <v>23</v>
      </c>
    </row>
    <row r="4135" spans="1:8" x14ac:dyDescent="0.2">
      <c r="A4135" t="s">
        <v>61</v>
      </c>
      <c r="B4135">
        <v>101.65</v>
      </c>
      <c r="C4135" t="s">
        <v>33</v>
      </c>
      <c r="D4135" t="s">
        <v>27</v>
      </c>
      <c r="E4135" t="s">
        <v>15</v>
      </c>
      <c r="F4135" t="s">
        <v>28</v>
      </c>
      <c r="G4135" t="s">
        <v>61</v>
      </c>
      <c r="H4135" t="s">
        <v>62</v>
      </c>
    </row>
    <row r="4136" spans="1:8" x14ac:dyDescent="0.2">
      <c r="A4136" t="s">
        <v>272</v>
      </c>
      <c r="B4136">
        <v>1016.5</v>
      </c>
      <c r="C4136" t="s">
        <v>33</v>
      </c>
      <c r="D4136" t="s">
        <v>27</v>
      </c>
      <c r="E4136" t="s">
        <v>15</v>
      </c>
      <c r="F4136" t="s">
        <v>28</v>
      </c>
      <c r="G4136" t="s">
        <v>273</v>
      </c>
      <c r="H4136" t="s">
        <v>62</v>
      </c>
    </row>
    <row r="4137" spans="1:8" x14ac:dyDescent="0.2">
      <c r="A4137" t="s">
        <v>274</v>
      </c>
      <c r="B4137">
        <v>231.5687017447128</v>
      </c>
      <c r="C4137" t="s">
        <v>33</v>
      </c>
      <c r="D4137" t="s">
        <v>27</v>
      </c>
      <c r="E4137" t="s">
        <v>15</v>
      </c>
      <c r="F4137" t="s">
        <v>28</v>
      </c>
      <c r="G4137" t="s">
        <v>500</v>
      </c>
      <c r="H4137" t="s">
        <v>275</v>
      </c>
    </row>
    <row r="4138" spans="1:8" x14ac:dyDescent="0.2">
      <c r="A4138" t="s">
        <v>60</v>
      </c>
      <c r="B4138">
        <v>37.450000000000003</v>
      </c>
      <c r="C4138" t="s">
        <v>26</v>
      </c>
      <c r="D4138" t="s">
        <v>27</v>
      </c>
      <c r="E4138" t="s">
        <v>15</v>
      </c>
      <c r="F4138" t="s">
        <v>28</v>
      </c>
      <c r="G4138" t="s">
        <v>54</v>
      </c>
      <c r="H4138" t="s">
        <v>34</v>
      </c>
    </row>
    <row r="4139" spans="1:8" x14ac:dyDescent="0.2">
      <c r="A4139" t="s">
        <v>276</v>
      </c>
      <c r="B4139">
        <v>-952.30000000000007</v>
      </c>
      <c r="C4139" t="s">
        <v>33</v>
      </c>
      <c r="D4139" t="s">
        <v>27</v>
      </c>
      <c r="E4139" t="s">
        <v>15</v>
      </c>
      <c r="F4139" t="s">
        <v>28</v>
      </c>
      <c r="G4139" t="s">
        <v>277</v>
      </c>
      <c r="H4139" t="s">
        <v>25</v>
      </c>
    </row>
    <row r="4140" spans="1:8" x14ac:dyDescent="0.2">
      <c r="A4140" t="s">
        <v>501</v>
      </c>
      <c r="B4140">
        <v>-231.5687017447128</v>
      </c>
      <c r="C4140" t="s">
        <v>33</v>
      </c>
      <c r="D4140" t="s">
        <v>27</v>
      </c>
      <c r="E4140" t="s">
        <v>15</v>
      </c>
      <c r="F4140" t="s">
        <v>28</v>
      </c>
      <c r="G4140" t="s">
        <v>502</v>
      </c>
      <c r="H4140" t="s">
        <v>25</v>
      </c>
    </row>
    <row r="4141" spans="1:8" x14ac:dyDescent="0.2">
      <c r="A4141" t="s">
        <v>471</v>
      </c>
      <c r="B4141">
        <v>1</v>
      </c>
      <c r="C4141" t="s">
        <v>26</v>
      </c>
      <c r="D4141" t="s">
        <v>10</v>
      </c>
      <c r="E4141" t="s">
        <v>15</v>
      </c>
      <c r="F4141" t="s">
        <v>24</v>
      </c>
      <c r="G4141" t="s">
        <v>65</v>
      </c>
      <c r="H4141" t="s">
        <v>25</v>
      </c>
    </row>
    <row r="4143" spans="1:8" ht="16" x14ac:dyDescent="0.2">
      <c r="A4143" s="1" t="s">
        <v>4</v>
      </c>
      <c r="B4143" s="1" t="s">
        <v>447</v>
      </c>
    </row>
    <row r="4144" spans="1:8" x14ac:dyDescent="0.2">
      <c r="A4144" t="s">
        <v>5</v>
      </c>
      <c r="B4144" t="s">
        <v>26</v>
      </c>
    </row>
    <row r="4145" spans="1:8" x14ac:dyDescent="0.2">
      <c r="A4145" t="s">
        <v>6</v>
      </c>
      <c r="B4145">
        <v>1</v>
      </c>
    </row>
    <row r="4146" spans="1:8" x14ac:dyDescent="0.2">
      <c r="A4146" t="s">
        <v>7</v>
      </c>
      <c r="B4146" t="s">
        <v>67</v>
      </c>
    </row>
    <row r="4147" spans="1:8" x14ac:dyDescent="0.2">
      <c r="A4147" t="s">
        <v>8</v>
      </c>
      <c r="B4147" t="s">
        <v>9</v>
      </c>
    </row>
    <row r="4148" spans="1:8" x14ac:dyDescent="0.2">
      <c r="A4148" t="s">
        <v>10</v>
      </c>
      <c r="B4148" t="s">
        <v>10</v>
      </c>
    </row>
    <row r="4149" spans="1:8" x14ac:dyDescent="0.2">
      <c r="A4149" t="s">
        <v>11</v>
      </c>
      <c r="B4149" t="s">
        <v>12</v>
      </c>
    </row>
    <row r="4150" spans="1:8" x14ac:dyDescent="0.2">
      <c r="A4150" t="s">
        <v>13</v>
      </c>
      <c r="B4150" t="s">
        <v>291</v>
      </c>
    </row>
    <row r="4151" spans="1:8" x14ac:dyDescent="0.2">
      <c r="A4151" t="s">
        <v>14</v>
      </c>
      <c r="B4151" t="s">
        <v>271</v>
      </c>
    </row>
    <row r="4152" spans="1:8" x14ac:dyDescent="0.2">
      <c r="A4152" t="s">
        <v>16</v>
      </c>
      <c r="B4152" t="s">
        <v>15</v>
      </c>
    </row>
    <row r="4153" spans="1:8" x14ac:dyDescent="0.2">
      <c r="A4153" t="s">
        <v>17</v>
      </c>
      <c r="B4153" t="s">
        <v>227</v>
      </c>
    </row>
    <row r="4154" spans="1:8" ht="16" x14ac:dyDescent="0.2">
      <c r="A4154" s="1" t="s">
        <v>18</v>
      </c>
    </row>
    <row r="4155" spans="1:8" x14ac:dyDescent="0.2">
      <c r="A4155" t="s">
        <v>19</v>
      </c>
      <c r="B4155" t="s">
        <v>20</v>
      </c>
      <c r="C4155" t="s">
        <v>5</v>
      </c>
      <c r="D4155" t="s">
        <v>10</v>
      </c>
      <c r="E4155" t="s">
        <v>22</v>
      </c>
      <c r="F4155" t="s">
        <v>8</v>
      </c>
      <c r="G4155" t="s">
        <v>7</v>
      </c>
      <c r="H4155" t="s">
        <v>23</v>
      </c>
    </row>
    <row r="4156" spans="1:8" x14ac:dyDescent="0.2">
      <c r="A4156" t="s">
        <v>61</v>
      </c>
      <c r="B4156">
        <v>101.65</v>
      </c>
      <c r="C4156" t="s">
        <v>33</v>
      </c>
      <c r="D4156" t="s">
        <v>27</v>
      </c>
      <c r="E4156" t="s">
        <v>15</v>
      </c>
      <c r="F4156" t="s">
        <v>28</v>
      </c>
      <c r="G4156" t="s">
        <v>61</v>
      </c>
      <c r="H4156" t="s">
        <v>62</v>
      </c>
    </row>
    <row r="4157" spans="1:8" x14ac:dyDescent="0.2">
      <c r="A4157" t="s">
        <v>272</v>
      </c>
      <c r="B4157">
        <v>1016.5</v>
      </c>
      <c r="C4157" t="s">
        <v>33</v>
      </c>
      <c r="D4157" t="s">
        <v>27</v>
      </c>
      <c r="E4157" t="s">
        <v>15</v>
      </c>
      <c r="F4157" t="s">
        <v>28</v>
      </c>
      <c r="G4157" t="s">
        <v>273</v>
      </c>
      <c r="H4157" t="s">
        <v>62</v>
      </c>
    </row>
    <row r="4158" spans="1:8" x14ac:dyDescent="0.2">
      <c r="A4158" t="s">
        <v>274</v>
      </c>
      <c r="B4158">
        <v>231.02283606871839</v>
      </c>
      <c r="C4158" t="s">
        <v>33</v>
      </c>
      <c r="D4158" t="s">
        <v>27</v>
      </c>
      <c r="E4158" t="s">
        <v>15</v>
      </c>
      <c r="F4158" t="s">
        <v>28</v>
      </c>
      <c r="G4158" t="s">
        <v>500</v>
      </c>
      <c r="H4158" t="s">
        <v>275</v>
      </c>
    </row>
    <row r="4159" spans="1:8" x14ac:dyDescent="0.2">
      <c r="A4159" t="s">
        <v>60</v>
      </c>
      <c r="B4159">
        <v>34.774999999999999</v>
      </c>
      <c r="C4159" t="s">
        <v>26</v>
      </c>
      <c r="D4159" t="s">
        <v>27</v>
      </c>
      <c r="E4159" t="s">
        <v>15</v>
      </c>
      <c r="F4159" t="s">
        <v>28</v>
      </c>
      <c r="G4159" t="s">
        <v>54</v>
      </c>
      <c r="H4159" t="s">
        <v>34</v>
      </c>
    </row>
    <row r="4160" spans="1:8" x14ac:dyDescent="0.2">
      <c r="A4160" t="s">
        <v>276</v>
      </c>
      <c r="B4160">
        <v>-949.625</v>
      </c>
      <c r="C4160" t="s">
        <v>33</v>
      </c>
      <c r="D4160" t="s">
        <v>27</v>
      </c>
      <c r="E4160" t="s">
        <v>15</v>
      </c>
      <c r="F4160" t="s">
        <v>28</v>
      </c>
      <c r="G4160" t="s">
        <v>277</v>
      </c>
      <c r="H4160" t="s">
        <v>25</v>
      </c>
    </row>
    <row r="4161" spans="1:8" x14ac:dyDescent="0.2">
      <c r="A4161" t="s">
        <v>501</v>
      </c>
      <c r="B4161">
        <v>-231.02283606871839</v>
      </c>
      <c r="C4161" t="s">
        <v>33</v>
      </c>
      <c r="D4161" t="s">
        <v>27</v>
      </c>
      <c r="E4161" t="s">
        <v>15</v>
      </c>
      <c r="F4161" t="s">
        <v>28</v>
      </c>
      <c r="G4161" t="s">
        <v>502</v>
      </c>
      <c r="H4161" t="s">
        <v>25</v>
      </c>
    </row>
    <row r="4162" spans="1:8" x14ac:dyDescent="0.2">
      <c r="A4162" t="s">
        <v>447</v>
      </c>
      <c r="B4162">
        <v>1</v>
      </c>
      <c r="C4162" t="s">
        <v>26</v>
      </c>
      <c r="D4162" t="s">
        <v>10</v>
      </c>
      <c r="E4162" t="s">
        <v>15</v>
      </c>
      <c r="F4162" t="s">
        <v>24</v>
      </c>
      <c r="G4162" t="s">
        <v>67</v>
      </c>
      <c r="H4162" t="s">
        <v>25</v>
      </c>
    </row>
    <row r="4164" spans="1:8" ht="16" x14ac:dyDescent="0.2">
      <c r="A4164" s="1" t="s">
        <v>4</v>
      </c>
      <c r="B4164" s="1" t="s">
        <v>423</v>
      </c>
    </row>
    <row r="4165" spans="1:8" x14ac:dyDescent="0.2">
      <c r="A4165" t="s">
        <v>5</v>
      </c>
      <c r="B4165" t="s">
        <v>26</v>
      </c>
    </row>
    <row r="4166" spans="1:8" x14ac:dyDescent="0.2">
      <c r="A4166" t="s">
        <v>6</v>
      </c>
      <c r="B4166">
        <v>1</v>
      </c>
    </row>
    <row r="4167" spans="1:8" x14ac:dyDescent="0.2">
      <c r="A4167" t="s">
        <v>7</v>
      </c>
      <c r="B4167" t="s">
        <v>69</v>
      </c>
    </row>
    <row r="4168" spans="1:8" x14ac:dyDescent="0.2">
      <c r="A4168" t="s">
        <v>8</v>
      </c>
      <c r="B4168" t="s">
        <v>9</v>
      </c>
    </row>
    <row r="4169" spans="1:8" x14ac:dyDescent="0.2">
      <c r="A4169" t="s">
        <v>10</v>
      </c>
      <c r="B4169" t="s">
        <v>10</v>
      </c>
    </row>
    <row r="4170" spans="1:8" x14ac:dyDescent="0.2">
      <c r="A4170" t="s">
        <v>11</v>
      </c>
      <c r="B4170" t="s">
        <v>12</v>
      </c>
    </row>
    <row r="4171" spans="1:8" x14ac:dyDescent="0.2">
      <c r="A4171" t="s">
        <v>13</v>
      </c>
      <c r="B4171" t="s">
        <v>291</v>
      </c>
    </row>
    <row r="4172" spans="1:8" x14ac:dyDescent="0.2">
      <c r="A4172" t="s">
        <v>14</v>
      </c>
      <c r="B4172" t="s">
        <v>271</v>
      </c>
    </row>
    <row r="4173" spans="1:8" x14ac:dyDescent="0.2">
      <c r="A4173" t="s">
        <v>16</v>
      </c>
      <c r="B4173" t="s">
        <v>15</v>
      </c>
    </row>
    <row r="4174" spans="1:8" x14ac:dyDescent="0.2">
      <c r="A4174" t="s">
        <v>17</v>
      </c>
      <c r="B4174" t="s">
        <v>228</v>
      </c>
    </row>
    <row r="4175" spans="1:8" ht="16" x14ac:dyDescent="0.2">
      <c r="A4175" s="1" t="s">
        <v>18</v>
      </c>
    </row>
    <row r="4176" spans="1:8" x14ac:dyDescent="0.2">
      <c r="A4176" t="s">
        <v>19</v>
      </c>
      <c r="B4176" t="s">
        <v>20</v>
      </c>
      <c r="C4176" t="s">
        <v>5</v>
      </c>
      <c r="D4176" t="s">
        <v>10</v>
      </c>
      <c r="E4176" t="s">
        <v>22</v>
      </c>
      <c r="F4176" t="s">
        <v>8</v>
      </c>
      <c r="G4176" t="s">
        <v>7</v>
      </c>
      <c r="H4176" t="s">
        <v>23</v>
      </c>
    </row>
    <row r="4177" spans="1:8" x14ac:dyDescent="0.2">
      <c r="A4177" t="s">
        <v>61</v>
      </c>
      <c r="B4177">
        <v>101.65</v>
      </c>
      <c r="C4177" t="s">
        <v>33</v>
      </c>
      <c r="D4177" t="s">
        <v>27</v>
      </c>
      <c r="E4177" t="s">
        <v>15</v>
      </c>
      <c r="F4177" t="s">
        <v>28</v>
      </c>
      <c r="G4177" t="s">
        <v>61</v>
      </c>
      <c r="H4177" t="s">
        <v>62</v>
      </c>
    </row>
    <row r="4178" spans="1:8" x14ac:dyDescent="0.2">
      <c r="A4178" t="s">
        <v>272</v>
      </c>
      <c r="B4178">
        <v>1016.5</v>
      </c>
      <c r="C4178" t="s">
        <v>33</v>
      </c>
      <c r="D4178" t="s">
        <v>27</v>
      </c>
      <c r="E4178" t="s">
        <v>15</v>
      </c>
      <c r="F4178" t="s">
        <v>28</v>
      </c>
      <c r="G4178" t="s">
        <v>273</v>
      </c>
      <c r="H4178" t="s">
        <v>62</v>
      </c>
    </row>
    <row r="4179" spans="1:8" x14ac:dyDescent="0.2">
      <c r="A4179" t="s">
        <v>274</v>
      </c>
      <c r="B4179">
        <v>230.47697039272401</v>
      </c>
      <c r="C4179" t="s">
        <v>33</v>
      </c>
      <c r="D4179" t="s">
        <v>27</v>
      </c>
      <c r="E4179" t="s">
        <v>15</v>
      </c>
      <c r="F4179" t="s">
        <v>28</v>
      </c>
      <c r="G4179" t="s">
        <v>500</v>
      </c>
      <c r="H4179" t="s">
        <v>275</v>
      </c>
    </row>
    <row r="4180" spans="1:8" x14ac:dyDescent="0.2">
      <c r="A4180" t="s">
        <v>60</v>
      </c>
      <c r="B4180">
        <v>32.1</v>
      </c>
      <c r="C4180" t="s">
        <v>26</v>
      </c>
      <c r="D4180" t="s">
        <v>27</v>
      </c>
      <c r="E4180" t="s">
        <v>15</v>
      </c>
      <c r="F4180" t="s">
        <v>28</v>
      </c>
      <c r="G4180" t="s">
        <v>54</v>
      </c>
      <c r="H4180" t="s">
        <v>34</v>
      </c>
    </row>
    <row r="4181" spans="1:8" x14ac:dyDescent="0.2">
      <c r="A4181" t="s">
        <v>276</v>
      </c>
      <c r="B4181">
        <v>-946.95</v>
      </c>
      <c r="C4181" t="s">
        <v>33</v>
      </c>
      <c r="D4181" t="s">
        <v>27</v>
      </c>
      <c r="E4181" t="s">
        <v>15</v>
      </c>
      <c r="F4181" t="s">
        <v>28</v>
      </c>
      <c r="G4181" t="s">
        <v>277</v>
      </c>
      <c r="H4181" t="s">
        <v>25</v>
      </c>
    </row>
    <row r="4182" spans="1:8" x14ac:dyDescent="0.2">
      <c r="A4182" t="s">
        <v>501</v>
      </c>
      <c r="B4182">
        <v>-230.47697039272401</v>
      </c>
      <c r="C4182" t="s">
        <v>33</v>
      </c>
      <c r="D4182" t="s">
        <v>27</v>
      </c>
      <c r="E4182" t="s">
        <v>15</v>
      </c>
      <c r="F4182" t="s">
        <v>28</v>
      </c>
      <c r="G4182" t="s">
        <v>502</v>
      </c>
      <c r="H4182" t="s">
        <v>25</v>
      </c>
    </row>
    <row r="4183" spans="1:8" x14ac:dyDescent="0.2">
      <c r="A4183" t="s">
        <v>423</v>
      </c>
      <c r="B4183">
        <v>1</v>
      </c>
      <c r="C4183" t="s">
        <v>26</v>
      </c>
      <c r="D4183" t="s">
        <v>10</v>
      </c>
      <c r="E4183" t="s">
        <v>15</v>
      </c>
      <c r="F4183" t="s">
        <v>24</v>
      </c>
      <c r="G4183" t="s">
        <v>69</v>
      </c>
      <c r="H4183" t="s">
        <v>25</v>
      </c>
    </row>
    <row r="4185" spans="1:8" ht="16" x14ac:dyDescent="0.2">
      <c r="A4185" s="1" t="s">
        <v>4</v>
      </c>
      <c r="B4185" s="1" t="s">
        <v>391</v>
      </c>
    </row>
    <row r="4186" spans="1:8" x14ac:dyDescent="0.2">
      <c r="A4186" t="s">
        <v>5</v>
      </c>
      <c r="B4186" t="s">
        <v>26</v>
      </c>
    </row>
    <row r="4187" spans="1:8" x14ac:dyDescent="0.2">
      <c r="A4187" t="s">
        <v>6</v>
      </c>
      <c r="B4187">
        <v>1</v>
      </c>
    </row>
    <row r="4188" spans="1:8" x14ac:dyDescent="0.2">
      <c r="A4188" t="s">
        <v>7</v>
      </c>
      <c r="B4188" t="s">
        <v>71</v>
      </c>
    </row>
    <row r="4189" spans="1:8" x14ac:dyDescent="0.2">
      <c r="A4189" t="s">
        <v>8</v>
      </c>
      <c r="B4189" t="s">
        <v>9</v>
      </c>
    </row>
    <row r="4190" spans="1:8" x14ac:dyDescent="0.2">
      <c r="A4190" t="s">
        <v>10</v>
      </c>
      <c r="B4190" t="s">
        <v>10</v>
      </c>
    </row>
    <row r="4191" spans="1:8" x14ac:dyDescent="0.2">
      <c r="A4191" t="s">
        <v>11</v>
      </c>
      <c r="B4191" t="s">
        <v>12</v>
      </c>
    </row>
    <row r="4192" spans="1:8" x14ac:dyDescent="0.2">
      <c r="A4192" t="s">
        <v>13</v>
      </c>
      <c r="B4192" t="s">
        <v>291</v>
      </c>
    </row>
    <row r="4193" spans="1:8" x14ac:dyDescent="0.2">
      <c r="A4193" t="s">
        <v>14</v>
      </c>
      <c r="B4193" t="s">
        <v>271</v>
      </c>
    </row>
    <row r="4194" spans="1:8" x14ac:dyDescent="0.2">
      <c r="A4194" t="s">
        <v>16</v>
      </c>
      <c r="B4194" t="s">
        <v>15</v>
      </c>
    </row>
    <row r="4195" spans="1:8" x14ac:dyDescent="0.2">
      <c r="A4195" t="s">
        <v>17</v>
      </c>
      <c r="B4195" t="s">
        <v>229</v>
      </c>
    </row>
    <row r="4196" spans="1:8" ht="16" x14ac:dyDescent="0.2">
      <c r="A4196" s="1" t="s">
        <v>18</v>
      </c>
    </row>
    <row r="4197" spans="1:8" x14ac:dyDescent="0.2">
      <c r="A4197" t="s">
        <v>19</v>
      </c>
      <c r="B4197" t="s">
        <v>20</v>
      </c>
      <c r="C4197" t="s">
        <v>5</v>
      </c>
      <c r="D4197" t="s">
        <v>10</v>
      </c>
      <c r="E4197" t="s">
        <v>22</v>
      </c>
      <c r="F4197" t="s">
        <v>8</v>
      </c>
      <c r="G4197" t="s">
        <v>7</v>
      </c>
      <c r="H4197" t="s">
        <v>23</v>
      </c>
    </row>
    <row r="4198" spans="1:8" x14ac:dyDescent="0.2">
      <c r="A4198" t="s">
        <v>61</v>
      </c>
      <c r="B4198">
        <v>104.9646739130435</v>
      </c>
      <c r="C4198" t="s">
        <v>33</v>
      </c>
      <c r="D4198" t="s">
        <v>27</v>
      </c>
      <c r="E4198" t="s">
        <v>15</v>
      </c>
      <c r="F4198" t="s">
        <v>28</v>
      </c>
      <c r="G4198" t="s">
        <v>61</v>
      </c>
      <c r="H4198" t="s">
        <v>62</v>
      </c>
    </row>
    <row r="4199" spans="1:8" x14ac:dyDescent="0.2">
      <c r="A4199" t="s">
        <v>272</v>
      </c>
      <c r="B4199">
        <v>1016.5</v>
      </c>
      <c r="C4199" t="s">
        <v>33</v>
      </c>
      <c r="D4199" t="s">
        <v>27</v>
      </c>
      <c r="E4199" t="s">
        <v>15</v>
      </c>
      <c r="F4199" t="s">
        <v>28</v>
      </c>
      <c r="G4199" t="s">
        <v>273</v>
      </c>
      <c r="H4199" t="s">
        <v>62</v>
      </c>
    </row>
    <row r="4200" spans="1:8" x14ac:dyDescent="0.2">
      <c r="A4200" t="s">
        <v>274</v>
      </c>
      <c r="B4200">
        <v>228.70538396473339</v>
      </c>
      <c r="C4200" t="s">
        <v>33</v>
      </c>
      <c r="D4200" t="s">
        <v>27</v>
      </c>
      <c r="E4200" t="s">
        <v>15</v>
      </c>
      <c r="F4200" t="s">
        <v>28</v>
      </c>
      <c r="G4200" t="s">
        <v>500</v>
      </c>
      <c r="H4200" t="s">
        <v>275</v>
      </c>
    </row>
    <row r="4201" spans="1:8" x14ac:dyDescent="0.2">
      <c r="A4201" t="s">
        <v>60</v>
      </c>
      <c r="B4201">
        <v>32.99166666666666</v>
      </c>
      <c r="C4201" t="s">
        <v>26</v>
      </c>
      <c r="D4201" t="s">
        <v>27</v>
      </c>
      <c r="E4201" t="s">
        <v>15</v>
      </c>
      <c r="F4201" t="s">
        <v>28</v>
      </c>
      <c r="G4201" t="s">
        <v>54</v>
      </c>
      <c r="H4201" t="s">
        <v>34</v>
      </c>
    </row>
    <row r="4202" spans="1:8" x14ac:dyDescent="0.2">
      <c r="A4202" t="s">
        <v>276</v>
      </c>
      <c r="B4202">
        <v>-944.52699275362318</v>
      </c>
      <c r="C4202" t="s">
        <v>33</v>
      </c>
      <c r="D4202" t="s">
        <v>27</v>
      </c>
      <c r="E4202" t="s">
        <v>15</v>
      </c>
      <c r="F4202" t="s">
        <v>28</v>
      </c>
      <c r="G4202" t="s">
        <v>277</v>
      </c>
      <c r="H4202" t="s">
        <v>25</v>
      </c>
    </row>
    <row r="4203" spans="1:8" x14ac:dyDescent="0.2">
      <c r="A4203" t="s">
        <v>501</v>
      </c>
      <c r="B4203">
        <v>-228.70538396473339</v>
      </c>
      <c r="C4203" t="s">
        <v>33</v>
      </c>
      <c r="D4203" t="s">
        <v>27</v>
      </c>
      <c r="E4203" t="s">
        <v>15</v>
      </c>
      <c r="F4203" t="s">
        <v>28</v>
      </c>
      <c r="G4203" t="s">
        <v>502</v>
      </c>
      <c r="H4203" t="s">
        <v>25</v>
      </c>
    </row>
    <row r="4204" spans="1:8" x14ac:dyDescent="0.2">
      <c r="A4204" t="s">
        <v>391</v>
      </c>
      <c r="B4204">
        <v>1</v>
      </c>
      <c r="C4204" t="s">
        <v>26</v>
      </c>
      <c r="D4204" t="s">
        <v>10</v>
      </c>
      <c r="E4204" t="s">
        <v>15</v>
      </c>
      <c r="F4204" t="s">
        <v>24</v>
      </c>
      <c r="G4204" t="s">
        <v>71</v>
      </c>
      <c r="H4204" t="s">
        <v>25</v>
      </c>
    </row>
    <row r="4206" spans="1:8" ht="16" x14ac:dyDescent="0.2">
      <c r="A4206" s="1" t="s">
        <v>4</v>
      </c>
      <c r="B4206" s="1" t="s">
        <v>335</v>
      </c>
    </row>
    <row r="4207" spans="1:8" x14ac:dyDescent="0.2">
      <c r="A4207" t="s">
        <v>5</v>
      </c>
      <c r="B4207" t="s">
        <v>26</v>
      </c>
    </row>
    <row r="4208" spans="1:8" x14ac:dyDescent="0.2">
      <c r="A4208" t="s">
        <v>6</v>
      </c>
      <c r="B4208">
        <v>1</v>
      </c>
    </row>
    <row r="4209" spans="1:8" x14ac:dyDescent="0.2">
      <c r="A4209" t="s">
        <v>7</v>
      </c>
      <c r="B4209" t="s">
        <v>73</v>
      </c>
    </row>
    <row r="4210" spans="1:8" x14ac:dyDescent="0.2">
      <c r="A4210" t="s">
        <v>8</v>
      </c>
      <c r="B4210" t="s">
        <v>9</v>
      </c>
    </row>
    <row r="4211" spans="1:8" x14ac:dyDescent="0.2">
      <c r="A4211" t="s">
        <v>10</v>
      </c>
      <c r="B4211" t="s">
        <v>10</v>
      </c>
    </row>
    <row r="4212" spans="1:8" x14ac:dyDescent="0.2">
      <c r="A4212" t="s">
        <v>11</v>
      </c>
      <c r="B4212" t="s">
        <v>12</v>
      </c>
    </row>
    <row r="4213" spans="1:8" x14ac:dyDescent="0.2">
      <c r="A4213" t="s">
        <v>13</v>
      </c>
      <c r="B4213" t="s">
        <v>291</v>
      </c>
    </row>
    <row r="4214" spans="1:8" x14ac:dyDescent="0.2">
      <c r="A4214" t="s">
        <v>14</v>
      </c>
      <c r="B4214" t="s">
        <v>271</v>
      </c>
    </row>
    <row r="4215" spans="1:8" x14ac:dyDescent="0.2">
      <c r="A4215" t="s">
        <v>16</v>
      </c>
      <c r="B4215" t="s">
        <v>15</v>
      </c>
    </row>
    <row r="4216" spans="1:8" x14ac:dyDescent="0.2">
      <c r="A4216" t="s">
        <v>17</v>
      </c>
      <c r="B4216" t="s">
        <v>230</v>
      </c>
    </row>
    <row r="4217" spans="1:8" ht="16" x14ac:dyDescent="0.2">
      <c r="A4217" s="1" t="s">
        <v>18</v>
      </c>
    </row>
    <row r="4218" spans="1:8" x14ac:dyDescent="0.2">
      <c r="A4218" t="s">
        <v>19</v>
      </c>
      <c r="B4218" t="s">
        <v>20</v>
      </c>
      <c r="C4218" t="s">
        <v>5</v>
      </c>
      <c r="D4218" t="s">
        <v>10</v>
      </c>
      <c r="E4218" t="s">
        <v>22</v>
      </c>
      <c r="F4218" t="s">
        <v>8</v>
      </c>
      <c r="G4218" t="s">
        <v>7</v>
      </c>
      <c r="H4218" t="s">
        <v>23</v>
      </c>
    </row>
    <row r="4219" spans="1:8" x14ac:dyDescent="0.2">
      <c r="A4219" t="s">
        <v>61</v>
      </c>
      <c r="B4219">
        <v>108.279347826087</v>
      </c>
      <c r="C4219" t="s">
        <v>33</v>
      </c>
      <c r="D4219" t="s">
        <v>27</v>
      </c>
      <c r="E4219" t="s">
        <v>15</v>
      </c>
      <c r="F4219" t="s">
        <v>28</v>
      </c>
      <c r="G4219" t="s">
        <v>61</v>
      </c>
      <c r="H4219" t="s">
        <v>62</v>
      </c>
    </row>
    <row r="4220" spans="1:8" x14ac:dyDescent="0.2">
      <c r="A4220" t="s">
        <v>272</v>
      </c>
      <c r="B4220">
        <v>1016.5</v>
      </c>
      <c r="C4220" t="s">
        <v>33</v>
      </c>
      <c r="D4220" t="s">
        <v>27</v>
      </c>
      <c r="E4220" t="s">
        <v>15</v>
      </c>
      <c r="F4220" t="s">
        <v>28</v>
      </c>
      <c r="G4220" t="s">
        <v>273</v>
      </c>
      <c r="H4220" t="s">
        <v>62</v>
      </c>
    </row>
    <row r="4221" spans="1:8" x14ac:dyDescent="0.2">
      <c r="A4221" t="s">
        <v>274</v>
      </c>
      <c r="B4221">
        <v>226.93676294509169</v>
      </c>
      <c r="C4221" t="s">
        <v>33</v>
      </c>
      <c r="D4221" t="s">
        <v>27</v>
      </c>
      <c r="E4221" t="s">
        <v>15</v>
      </c>
      <c r="F4221" t="s">
        <v>28</v>
      </c>
      <c r="G4221" t="s">
        <v>500</v>
      </c>
      <c r="H4221" t="s">
        <v>275</v>
      </c>
    </row>
    <row r="4222" spans="1:8" x14ac:dyDescent="0.2">
      <c r="A4222" t="s">
        <v>60</v>
      </c>
      <c r="B4222">
        <v>33.883333333333333</v>
      </c>
      <c r="C4222" t="s">
        <v>26</v>
      </c>
      <c r="D4222" t="s">
        <v>27</v>
      </c>
      <c r="E4222" t="s">
        <v>15</v>
      </c>
      <c r="F4222" t="s">
        <v>28</v>
      </c>
      <c r="G4222" t="s">
        <v>54</v>
      </c>
      <c r="H4222" t="s">
        <v>34</v>
      </c>
    </row>
    <row r="4223" spans="1:8" x14ac:dyDescent="0.2">
      <c r="A4223" t="s">
        <v>276</v>
      </c>
      <c r="B4223">
        <v>-942.10398550724631</v>
      </c>
      <c r="C4223" t="s">
        <v>33</v>
      </c>
      <c r="D4223" t="s">
        <v>27</v>
      </c>
      <c r="E4223" t="s">
        <v>15</v>
      </c>
      <c r="F4223" t="s">
        <v>28</v>
      </c>
      <c r="G4223" t="s">
        <v>277</v>
      </c>
      <c r="H4223" t="s">
        <v>25</v>
      </c>
    </row>
    <row r="4224" spans="1:8" x14ac:dyDescent="0.2">
      <c r="A4224" t="s">
        <v>501</v>
      </c>
      <c r="B4224">
        <v>-226.93676294509169</v>
      </c>
      <c r="C4224" t="s">
        <v>33</v>
      </c>
      <c r="D4224" t="s">
        <v>27</v>
      </c>
      <c r="E4224" t="s">
        <v>15</v>
      </c>
      <c r="F4224" t="s">
        <v>28</v>
      </c>
      <c r="G4224" t="s">
        <v>502</v>
      </c>
      <c r="H4224" t="s">
        <v>25</v>
      </c>
    </row>
    <row r="4225" spans="1:8" x14ac:dyDescent="0.2">
      <c r="A4225" t="s">
        <v>335</v>
      </c>
      <c r="B4225">
        <v>1</v>
      </c>
      <c r="C4225" t="s">
        <v>26</v>
      </c>
      <c r="D4225" t="s">
        <v>10</v>
      </c>
      <c r="E4225" t="s">
        <v>15</v>
      </c>
      <c r="F4225" t="s">
        <v>24</v>
      </c>
      <c r="G4225" t="s">
        <v>73</v>
      </c>
      <c r="H4225" t="s">
        <v>25</v>
      </c>
    </row>
    <row r="4228" spans="1:8" ht="16" x14ac:dyDescent="0.2">
      <c r="A4228" s="1" t="s">
        <v>4</v>
      </c>
      <c r="B4228" s="1" t="s">
        <v>472</v>
      </c>
    </row>
    <row r="4229" spans="1:8" x14ac:dyDescent="0.2">
      <c r="A4229" t="s">
        <v>5</v>
      </c>
      <c r="B4229" t="s">
        <v>26</v>
      </c>
    </row>
    <row r="4230" spans="1:8" x14ac:dyDescent="0.2">
      <c r="A4230" t="s">
        <v>6</v>
      </c>
      <c r="B4230">
        <v>1</v>
      </c>
    </row>
    <row r="4231" spans="1:8" x14ac:dyDescent="0.2">
      <c r="A4231" t="s">
        <v>7</v>
      </c>
      <c r="B4231" t="s">
        <v>65</v>
      </c>
    </row>
    <row r="4232" spans="1:8" x14ac:dyDescent="0.2">
      <c r="A4232" t="s">
        <v>8</v>
      </c>
      <c r="B4232" t="s">
        <v>9</v>
      </c>
    </row>
    <row r="4233" spans="1:8" x14ac:dyDescent="0.2">
      <c r="A4233" t="s">
        <v>10</v>
      </c>
      <c r="B4233" t="s">
        <v>10</v>
      </c>
    </row>
    <row r="4234" spans="1:8" x14ac:dyDescent="0.2">
      <c r="A4234" t="s">
        <v>11</v>
      </c>
      <c r="B4234" t="s">
        <v>12</v>
      </c>
    </row>
    <row r="4235" spans="1:8" x14ac:dyDescent="0.2">
      <c r="A4235" t="s">
        <v>13</v>
      </c>
      <c r="B4235" t="s">
        <v>291</v>
      </c>
    </row>
    <row r="4236" spans="1:8" x14ac:dyDescent="0.2">
      <c r="A4236" t="s">
        <v>14</v>
      </c>
      <c r="B4236" t="s">
        <v>271</v>
      </c>
    </row>
    <row r="4237" spans="1:8" x14ac:dyDescent="0.2">
      <c r="A4237" t="s">
        <v>16</v>
      </c>
      <c r="B4237" t="s">
        <v>15</v>
      </c>
    </row>
    <row r="4238" spans="1:8" x14ac:dyDescent="0.2">
      <c r="A4238" t="s">
        <v>17</v>
      </c>
      <c r="B4238" t="s">
        <v>231</v>
      </c>
    </row>
    <row r="4239" spans="1:8" ht="16" x14ac:dyDescent="0.2">
      <c r="A4239" s="1" t="s">
        <v>18</v>
      </c>
    </row>
    <row r="4240" spans="1:8" x14ac:dyDescent="0.2">
      <c r="A4240" t="s">
        <v>19</v>
      </c>
      <c r="B4240" t="s">
        <v>20</v>
      </c>
      <c r="C4240" t="s">
        <v>5</v>
      </c>
      <c r="D4240" t="s">
        <v>10</v>
      </c>
      <c r="E4240" t="s">
        <v>22</v>
      </c>
      <c r="F4240" t="s">
        <v>8</v>
      </c>
      <c r="G4240" t="s">
        <v>7</v>
      </c>
      <c r="H4240" t="s">
        <v>23</v>
      </c>
    </row>
    <row r="4241" spans="1:8" x14ac:dyDescent="0.2">
      <c r="A4241" t="s">
        <v>486</v>
      </c>
      <c r="B4241">
        <v>86.666666666666657</v>
      </c>
      <c r="C4241" t="s">
        <v>26</v>
      </c>
      <c r="D4241" t="s">
        <v>27</v>
      </c>
      <c r="E4241" t="s">
        <v>15</v>
      </c>
      <c r="F4241" t="s">
        <v>28</v>
      </c>
      <c r="G4241" t="s">
        <v>487</v>
      </c>
      <c r="H4241" t="s">
        <v>25</v>
      </c>
    </row>
    <row r="4242" spans="1:8" x14ac:dyDescent="0.2">
      <c r="A4242" t="s">
        <v>61</v>
      </c>
      <c r="B4242">
        <v>90</v>
      </c>
      <c r="C4242" t="s">
        <v>33</v>
      </c>
      <c r="D4242" t="s">
        <v>27</v>
      </c>
      <c r="E4242" t="s">
        <v>15</v>
      </c>
      <c r="F4242" t="s">
        <v>28</v>
      </c>
      <c r="G4242" t="s">
        <v>61</v>
      </c>
      <c r="H4242" t="s">
        <v>62</v>
      </c>
    </row>
    <row r="4243" spans="1:8" x14ac:dyDescent="0.2">
      <c r="A4243" t="s">
        <v>272</v>
      </c>
      <c r="B4243">
        <v>900</v>
      </c>
      <c r="C4243" t="s">
        <v>33</v>
      </c>
      <c r="D4243" t="s">
        <v>27</v>
      </c>
      <c r="E4243" t="s">
        <v>15</v>
      </c>
      <c r="F4243" t="s">
        <v>28</v>
      </c>
      <c r="G4243" t="s">
        <v>273</v>
      </c>
      <c r="H4243" t="s">
        <v>62</v>
      </c>
    </row>
    <row r="4244" spans="1:8" x14ac:dyDescent="0.2">
      <c r="A4244" t="s">
        <v>274</v>
      </c>
      <c r="B4244">
        <v>206.23479051834741</v>
      </c>
      <c r="C4244" t="s">
        <v>33</v>
      </c>
      <c r="D4244" t="s">
        <v>27</v>
      </c>
      <c r="E4244" t="s">
        <v>15</v>
      </c>
      <c r="F4244" t="s">
        <v>28</v>
      </c>
      <c r="G4244" t="s">
        <v>500</v>
      </c>
      <c r="H4244" t="s">
        <v>275</v>
      </c>
    </row>
    <row r="4245" spans="1:8" x14ac:dyDescent="0.2">
      <c r="A4245" t="s">
        <v>276</v>
      </c>
      <c r="B4245">
        <v>-896.66666666666663</v>
      </c>
      <c r="C4245" t="s">
        <v>33</v>
      </c>
      <c r="D4245" t="s">
        <v>27</v>
      </c>
      <c r="E4245" t="s">
        <v>15</v>
      </c>
      <c r="F4245" t="s">
        <v>28</v>
      </c>
      <c r="G4245" t="s">
        <v>277</v>
      </c>
      <c r="H4245" t="s">
        <v>25</v>
      </c>
    </row>
    <row r="4246" spans="1:8" x14ac:dyDescent="0.2">
      <c r="A4246" t="s">
        <v>501</v>
      </c>
      <c r="B4246">
        <v>-206.23479051834741</v>
      </c>
      <c r="C4246" t="s">
        <v>33</v>
      </c>
      <c r="D4246" t="s">
        <v>27</v>
      </c>
      <c r="E4246" t="s">
        <v>15</v>
      </c>
      <c r="F4246" t="s">
        <v>28</v>
      </c>
      <c r="G4246" t="s">
        <v>502</v>
      </c>
      <c r="H4246" t="s">
        <v>25</v>
      </c>
    </row>
    <row r="4247" spans="1:8" x14ac:dyDescent="0.2">
      <c r="A4247" t="s">
        <v>472</v>
      </c>
      <c r="B4247">
        <v>1</v>
      </c>
      <c r="C4247" t="s">
        <v>26</v>
      </c>
      <c r="D4247" t="s">
        <v>10</v>
      </c>
      <c r="E4247" t="s">
        <v>15</v>
      </c>
      <c r="F4247" t="s">
        <v>24</v>
      </c>
      <c r="G4247" t="s">
        <v>65</v>
      </c>
      <c r="H4247" t="s">
        <v>25</v>
      </c>
    </row>
    <row r="4249" spans="1:8" ht="16" x14ac:dyDescent="0.2">
      <c r="A4249" s="1" t="s">
        <v>4</v>
      </c>
      <c r="B4249" s="1" t="s">
        <v>448</v>
      </c>
    </row>
    <row r="4250" spans="1:8" x14ac:dyDescent="0.2">
      <c r="A4250" t="s">
        <v>5</v>
      </c>
      <c r="B4250" t="s">
        <v>26</v>
      </c>
    </row>
    <row r="4251" spans="1:8" x14ac:dyDescent="0.2">
      <c r="A4251" t="s">
        <v>6</v>
      </c>
      <c r="B4251">
        <v>1</v>
      </c>
    </row>
    <row r="4252" spans="1:8" x14ac:dyDescent="0.2">
      <c r="A4252" t="s">
        <v>7</v>
      </c>
      <c r="B4252" t="s">
        <v>67</v>
      </c>
    </row>
    <row r="4253" spans="1:8" x14ac:dyDescent="0.2">
      <c r="A4253" t="s">
        <v>8</v>
      </c>
      <c r="B4253" t="s">
        <v>9</v>
      </c>
    </row>
    <row r="4254" spans="1:8" x14ac:dyDescent="0.2">
      <c r="A4254" t="s">
        <v>10</v>
      </c>
      <c r="B4254" t="s">
        <v>10</v>
      </c>
    </row>
    <row r="4255" spans="1:8" x14ac:dyDescent="0.2">
      <c r="A4255" t="s">
        <v>11</v>
      </c>
      <c r="B4255" t="s">
        <v>12</v>
      </c>
    </row>
    <row r="4256" spans="1:8" x14ac:dyDescent="0.2">
      <c r="A4256" t="s">
        <v>13</v>
      </c>
      <c r="B4256" t="s">
        <v>291</v>
      </c>
    </row>
    <row r="4257" spans="1:8" x14ac:dyDescent="0.2">
      <c r="A4257" t="s">
        <v>14</v>
      </c>
      <c r="B4257" t="s">
        <v>271</v>
      </c>
    </row>
    <row r="4258" spans="1:8" x14ac:dyDescent="0.2">
      <c r="A4258" t="s">
        <v>16</v>
      </c>
      <c r="B4258" t="s">
        <v>15</v>
      </c>
    </row>
    <row r="4259" spans="1:8" x14ac:dyDescent="0.2">
      <c r="A4259" t="s">
        <v>17</v>
      </c>
      <c r="B4259" t="s">
        <v>232</v>
      </c>
    </row>
    <row r="4260" spans="1:8" ht="16" x14ac:dyDescent="0.2">
      <c r="A4260" s="1" t="s">
        <v>18</v>
      </c>
    </row>
    <row r="4261" spans="1:8" x14ac:dyDescent="0.2">
      <c r="A4261" t="s">
        <v>19</v>
      </c>
      <c r="B4261" t="s">
        <v>20</v>
      </c>
      <c r="C4261" t="s">
        <v>5</v>
      </c>
      <c r="D4261" t="s">
        <v>10</v>
      </c>
      <c r="E4261" t="s">
        <v>22</v>
      </c>
      <c r="F4261" t="s">
        <v>8</v>
      </c>
      <c r="G4261" t="s">
        <v>7</v>
      </c>
      <c r="H4261" t="s">
        <v>23</v>
      </c>
    </row>
    <row r="4262" spans="1:8" x14ac:dyDescent="0.2">
      <c r="A4262" t="s">
        <v>486</v>
      </c>
      <c r="B4262">
        <v>99</v>
      </c>
      <c r="C4262" t="s">
        <v>26</v>
      </c>
      <c r="D4262" t="s">
        <v>27</v>
      </c>
      <c r="E4262" t="s">
        <v>15</v>
      </c>
      <c r="F4262" t="s">
        <v>28</v>
      </c>
      <c r="G4262" t="s">
        <v>487</v>
      </c>
      <c r="H4262" t="s">
        <v>25</v>
      </c>
    </row>
    <row r="4263" spans="1:8" x14ac:dyDescent="0.2">
      <c r="A4263" t="s">
        <v>61</v>
      </c>
      <c r="B4263">
        <v>90</v>
      </c>
      <c r="C4263" t="s">
        <v>33</v>
      </c>
      <c r="D4263" t="s">
        <v>27</v>
      </c>
      <c r="E4263" t="s">
        <v>15</v>
      </c>
      <c r="F4263" t="s">
        <v>28</v>
      </c>
      <c r="G4263" t="s">
        <v>61</v>
      </c>
      <c r="H4263" t="s">
        <v>62</v>
      </c>
    </row>
    <row r="4264" spans="1:8" x14ac:dyDescent="0.2">
      <c r="A4264" t="s">
        <v>272</v>
      </c>
      <c r="B4264">
        <v>900</v>
      </c>
      <c r="C4264" t="s">
        <v>33</v>
      </c>
      <c r="D4264" t="s">
        <v>27</v>
      </c>
      <c r="E4264" t="s">
        <v>15</v>
      </c>
      <c r="F4264" t="s">
        <v>28</v>
      </c>
      <c r="G4264" t="s">
        <v>273</v>
      </c>
      <c r="H4264" t="s">
        <v>62</v>
      </c>
    </row>
    <row r="4265" spans="1:8" x14ac:dyDescent="0.2">
      <c r="A4265" t="s">
        <v>274</v>
      </c>
      <c r="B4265">
        <v>207.6791861767006</v>
      </c>
      <c r="C4265" t="s">
        <v>33</v>
      </c>
      <c r="D4265" t="s">
        <v>27</v>
      </c>
      <c r="E4265" t="s">
        <v>15</v>
      </c>
      <c r="F4265" t="s">
        <v>28</v>
      </c>
      <c r="G4265" t="s">
        <v>500</v>
      </c>
      <c r="H4265" t="s">
        <v>275</v>
      </c>
    </row>
    <row r="4266" spans="1:8" x14ac:dyDescent="0.2">
      <c r="A4266" t="s">
        <v>276</v>
      </c>
      <c r="B4266">
        <v>-909</v>
      </c>
      <c r="C4266" t="s">
        <v>33</v>
      </c>
      <c r="D4266" t="s">
        <v>27</v>
      </c>
      <c r="E4266" t="s">
        <v>15</v>
      </c>
      <c r="F4266" t="s">
        <v>28</v>
      </c>
      <c r="G4266" t="s">
        <v>277</v>
      </c>
      <c r="H4266" t="s">
        <v>25</v>
      </c>
    </row>
    <row r="4267" spans="1:8" x14ac:dyDescent="0.2">
      <c r="A4267" t="s">
        <v>501</v>
      </c>
      <c r="B4267">
        <v>-207.6791861767006</v>
      </c>
      <c r="C4267" t="s">
        <v>33</v>
      </c>
      <c r="D4267" t="s">
        <v>27</v>
      </c>
      <c r="E4267" t="s">
        <v>15</v>
      </c>
      <c r="F4267" t="s">
        <v>28</v>
      </c>
      <c r="G4267" t="s">
        <v>502</v>
      </c>
      <c r="H4267" t="s">
        <v>25</v>
      </c>
    </row>
    <row r="4268" spans="1:8" x14ac:dyDescent="0.2">
      <c r="A4268" t="s">
        <v>448</v>
      </c>
      <c r="B4268">
        <v>1</v>
      </c>
      <c r="C4268" t="s">
        <v>26</v>
      </c>
      <c r="D4268" t="s">
        <v>10</v>
      </c>
      <c r="E4268" t="s">
        <v>15</v>
      </c>
      <c r="F4268" t="s">
        <v>24</v>
      </c>
      <c r="G4268" t="s">
        <v>67</v>
      </c>
      <c r="H4268" t="s">
        <v>25</v>
      </c>
    </row>
    <row r="4270" spans="1:8" ht="16" x14ac:dyDescent="0.2">
      <c r="A4270" s="1" t="s">
        <v>4</v>
      </c>
      <c r="B4270" s="1" t="s">
        <v>424</v>
      </c>
    </row>
    <row r="4271" spans="1:8" x14ac:dyDescent="0.2">
      <c r="A4271" t="s">
        <v>5</v>
      </c>
      <c r="B4271" t="s">
        <v>26</v>
      </c>
    </row>
    <row r="4272" spans="1:8" x14ac:dyDescent="0.2">
      <c r="A4272" t="s">
        <v>6</v>
      </c>
      <c r="B4272">
        <v>1</v>
      </c>
    </row>
    <row r="4273" spans="1:8" x14ac:dyDescent="0.2">
      <c r="A4273" t="s">
        <v>7</v>
      </c>
      <c r="B4273" t="s">
        <v>69</v>
      </c>
    </row>
    <row r="4274" spans="1:8" x14ac:dyDescent="0.2">
      <c r="A4274" t="s">
        <v>8</v>
      </c>
      <c r="B4274" t="s">
        <v>9</v>
      </c>
    </row>
    <row r="4275" spans="1:8" x14ac:dyDescent="0.2">
      <c r="A4275" t="s">
        <v>10</v>
      </c>
      <c r="B4275" t="s">
        <v>10</v>
      </c>
    </row>
    <row r="4276" spans="1:8" x14ac:dyDescent="0.2">
      <c r="A4276" t="s">
        <v>11</v>
      </c>
      <c r="B4276" t="s">
        <v>12</v>
      </c>
    </row>
    <row r="4277" spans="1:8" x14ac:dyDescent="0.2">
      <c r="A4277" t="s">
        <v>13</v>
      </c>
      <c r="B4277" t="s">
        <v>291</v>
      </c>
    </row>
    <row r="4278" spans="1:8" x14ac:dyDescent="0.2">
      <c r="A4278" t="s">
        <v>14</v>
      </c>
      <c r="B4278" t="s">
        <v>271</v>
      </c>
    </row>
    <row r="4279" spans="1:8" x14ac:dyDescent="0.2">
      <c r="A4279" t="s">
        <v>16</v>
      </c>
      <c r="B4279" t="s">
        <v>15</v>
      </c>
    </row>
    <row r="4280" spans="1:8" x14ac:dyDescent="0.2">
      <c r="A4280" t="s">
        <v>17</v>
      </c>
      <c r="B4280" t="s">
        <v>233</v>
      </c>
    </row>
    <row r="4281" spans="1:8" ht="16" x14ac:dyDescent="0.2">
      <c r="A4281" s="1" t="s">
        <v>18</v>
      </c>
    </row>
    <row r="4282" spans="1:8" x14ac:dyDescent="0.2">
      <c r="A4282" t="s">
        <v>19</v>
      </c>
      <c r="B4282" t="s">
        <v>20</v>
      </c>
      <c r="C4282" t="s">
        <v>5</v>
      </c>
      <c r="D4282" t="s">
        <v>10</v>
      </c>
      <c r="E4282" t="s">
        <v>22</v>
      </c>
      <c r="F4282" t="s">
        <v>8</v>
      </c>
      <c r="G4282" t="s">
        <v>7</v>
      </c>
      <c r="H4282" t="s">
        <v>23</v>
      </c>
    </row>
    <row r="4283" spans="1:8" x14ac:dyDescent="0.2">
      <c r="A4283" t="s">
        <v>486</v>
      </c>
      <c r="B4283">
        <v>111.3333333333333</v>
      </c>
      <c r="C4283" t="s">
        <v>26</v>
      </c>
      <c r="D4283" t="s">
        <v>27</v>
      </c>
      <c r="E4283" t="s">
        <v>15</v>
      </c>
      <c r="F4283" t="s">
        <v>28</v>
      </c>
      <c r="G4283" t="s">
        <v>487</v>
      </c>
      <c r="H4283" t="s">
        <v>25</v>
      </c>
    </row>
    <row r="4284" spans="1:8" x14ac:dyDescent="0.2">
      <c r="A4284" t="s">
        <v>61</v>
      </c>
      <c r="B4284">
        <v>90</v>
      </c>
      <c r="C4284" t="s">
        <v>33</v>
      </c>
      <c r="D4284" t="s">
        <v>27</v>
      </c>
      <c r="E4284" t="s">
        <v>15</v>
      </c>
      <c r="F4284" t="s">
        <v>28</v>
      </c>
      <c r="G4284" t="s">
        <v>61</v>
      </c>
      <c r="H4284" t="s">
        <v>62</v>
      </c>
    </row>
    <row r="4285" spans="1:8" x14ac:dyDescent="0.2">
      <c r="A4285" t="s">
        <v>272</v>
      </c>
      <c r="B4285">
        <v>900</v>
      </c>
      <c r="C4285" t="s">
        <v>33</v>
      </c>
      <c r="D4285" t="s">
        <v>27</v>
      </c>
      <c r="E4285" t="s">
        <v>15</v>
      </c>
      <c r="F4285" t="s">
        <v>28</v>
      </c>
      <c r="G4285" t="s">
        <v>273</v>
      </c>
      <c r="H4285" t="s">
        <v>62</v>
      </c>
    </row>
    <row r="4286" spans="1:8" x14ac:dyDescent="0.2">
      <c r="A4286" t="s">
        <v>274</v>
      </c>
      <c r="B4286">
        <v>209.12358183505381</v>
      </c>
      <c r="C4286" t="s">
        <v>33</v>
      </c>
      <c r="D4286" t="s">
        <v>27</v>
      </c>
      <c r="E4286" t="s">
        <v>15</v>
      </c>
      <c r="F4286" t="s">
        <v>28</v>
      </c>
      <c r="G4286" t="s">
        <v>500</v>
      </c>
      <c r="H4286" t="s">
        <v>275</v>
      </c>
    </row>
    <row r="4287" spans="1:8" x14ac:dyDescent="0.2">
      <c r="A4287" t="s">
        <v>276</v>
      </c>
      <c r="B4287">
        <v>-921.33333333333337</v>
      </c>
      <c r="C4287" t="s">
        <v>33</v>
      </c>
      <c r="D4287" t="s">
        <v>27</v>
      </c>
      <c r="E4287" t="s">
        <v>15</v>
      </c>
      <c r="F4287" t="s">
        <v>28</v>
      </c>
      <c r="G4287" t="s">
        <v>277</v>
      </c>
      <c r="H4287" t="s">
        <v>25</v>
      </c>
    </row>
    <row r="4288" spans="1:8" x14ac:dyDescent="0.2">
      <c r="A4288" t="s">
        <v>501</v>
      </c>
      <c r="B4288">
        <v>-209.12358183505381</v>
      </c>
      <c r="C4288" t="s">
        <v>33</v>
      </c>
      <c r="D4288" t="s">
        <v>27</v>
      </c>
      <c r="E4288" t="s">
        <v>15</v>
      </c>
      <c r="F4288" t="s">
        <v>28</v>
      </c>
      <c r="G4288" t="s">
        <v>502</v>
      </c>
      <c r="H4288" t="s">
        <v>25</v>
      </c>
    </row>
    <row r="4289" spans="1:8" x14ac:dyDescent="0.2">
      <c r="A4289" t="s">
        <v>424</v>
      </c>
      <c r="B4289">
        <v>1</v>
      </c>
      <c r="C4289" t="s">
        <v>26</v>
      </c>
      <c r="D4289" t="s">
        <v>10</v>
      </c>
      <c r="E4289" t="s">
        <v>15</v>
      </c>
      <c r="F4289" t="s">
        <v>24</v>
      </c>
      <c r="G4289" t="s">
        <v>69</v>
      </c>
      <c r="H4289" t="s">
        <v>25</v>
      </c>
    </row>
    <row r="4291" spans="1:8" ht="16" x14ac:dyDescent="0.2">
      <c r="A4291" s="1" t="s">
        <v>4</v>
      </c>
      <c r="B4291" s="1" t="s">
        <v>392</v>
      </c>
    </row>
    <row r="4292" spans="1:8" x14ac:dyDescent="0.2">
      <c r="A4292" t="s">
        <v>5</v>
      </c>
      <c r="B4292" t="s">
        <v>26</v>
      </c>
    </row>
    <row r="4293" spans="1:8" x14ac:dyDescent="0.2">
      <c r="A4293" t="s">
        <v>6</v>
      </c>
      <c r="B4293">
        <v>1</v>
      </c>
    </row>
    <row r="4294" spans="1:8" x14ac:dyDescent="0.2">
      <c r="A4294" t="s">
        <v>7</v>
      </c>
      <c r="B4294" t="s">
        <v>71</v>
      </c>
    </row>
    <row r="4295" spans="1:8" x14ac:dyDescent="0.2">
      <c r="A4295" t="s">
        <v>8</v>
      </c>
      <c r="B4295" t="s">
        <v>9</v>
      </c>
    </row>
    <row r="4296" spans="1:8" x14ac:dyDescent="0.2">
      <c r="A4296" t="s">
        <v>10</v>
      </c>
      <c r="B4296" t="s">
        <v>10</v>
      </c>
    </row>
    <row r="4297" spans="1:8" x14ac:dyDescent="0.2">
      <c r="A4297" t="s">
        <v>11</v>
      </c>
      <c r="B4297" t="s">
        <v>12</v>
      </c>
    </row>
    <row r="4298" spans="1:8" x14ac:dyDescent="0.2">
      <c r="A4298" t="s">
        <v>13</v>
      </c>
      <c r="B4298" t="s">
        <v>291</v>
      </c>
    </row>
    <row r="4299" spans="1:8" x14ac:dyDescent="0.2">
      <c r="A4299" t="s">
        <v>14</v>
      </c>
      <c r="B4299" t="s">
        <v>271</v>
      </c>
    </row>
    <row r="4300" spans="1:8" x14ac:dyDescent="0.2">
      <c r="A4300" t="s">
        <v>16</v>
      </c>
      <c r="B4300" t="s">
        <v>15</v>
      </c>
    </row>
    <row r="4301" spans="1:8" x14ac:dyDescent="0.2">
      <c r="A4301" t="s">
        <v>17</v>
      </c>
      <c r="B4301" t="s">
        <v>234</v>
      </c>
    </row>
    <row r="4302" spans="1:8" ht="16" x14ac:dyDescent="0.2">
      <c r="A4302" s="1" t="s">
        <v>18</v>
      </c>
    </row>
    <row r="4303" spans="1:8" x14ac:dyDescent="0.2">
      <c r="A4303" t="s">
        <v>19</v>
      </c>
      <c r="B4303" t="s">
        <v>20</v>
      </c>
      <c r="C4303" t="s">
        <v>5</v>
      </c>
      <c r="D4303" t="s">
        <v>10</v>
      </c>
      <c r="E4303" t="s">
        <v>22</v>
      </c>
      <c r="F4303" t="s">
        <v>8</v>
      </c>
      <c r="G4303" t="s">
        <v>7</v>
      </c>
      <c r="H4303" t="s">
        <v>23</v>
      </c>
    </row>
    <row r="4304" spans="1:8" x14ac:dyDescent="0.2">
      <c r="A4304" t="s">
        <v>486</v>
      </c>
      <c r="B4304">
        <v>91.526268115942045</v>
      </c>
      <c r="C4304" t="s">
        <v>26</v>
      </c>
      <c r="D4304" t="s">
        <v>27</v>
      </c>
      <c r="E4304" t="s">
        <v>15</v>
      </c>
      <c r="F4304" t="s">
        <v>28</v>
      </c>
      <c r="G4304" t="s">
        <v>487</v>
      </c>
      <c r="H4304" t="s">
        <v>25</v>
      </c>
    </row>
    <row r="4305" spans="1:8" x14ac:dyDescent="0.2">
      <c r="A4305" t="s">
        <v>61</v>
      </c>
      <c r="B4305">
        <v>95.516304347826107</v>
      </c>
      <c r="C4305" t="s">
        <v>33</v>
      </c>
      <c r="D4305" t="s">
        <v>27</v>
      </c>
      <c r="E4305" t="s">
        <v>15</v>
      </c>
      <c r="F4305" t="s">
        <v>28</v>
      </c>
      <c r="G4305" t="s">
        <v>61</v>
      </c>
      <c r="H4305" t="s">
        <v>62</v>
      </c>
    </row>
    <row r="4306" spans="1:8" x14ac:dyDescent="0.2">
      <c r="A4306" t="s">
        <v>272</v>
      </c>
      <c r="B4306">
        <v>925</v>
      </c>
      <c r="C4306" t="s">
        <v>33</v>
      </c>
      <c r="D4306" t="s">
        <v>27</v>
      </c>
      <c r="E4306" t="s">
        <v>15</v>
      </c>
      <c r="F4306" t="s">
        <v>28</v>
      </c>
      <c r="G4306" t="s">
        <v>273</v>
      </c>
      <c r="H4306" t="s">
        <v>62</v>
      </c>
    </row>
    <row r="4307" spans="1:8" x14ac:dyDescent="0.2">
      <c r="A4307" t="s">
        <v>274</v>
      </c>
      <c r="B4307">
        <v>206.93182455049219</v>
      </c>
      <c r="C4307" t="s">
        <v>33</v>
      </c>
      <c r="D4307" t="s">
        <v>27</v>
      </c>
      <c r="E4307" t="s">
        <v>15</v>
      </c>
      <c r="F4307" t="s">
        <v>28</v>
      </c>
      <c r="G4307" t="s">
        <v>500</v>
      </c>
      <c r="H4307" t="s">
        <v>275</v>
      </c>
    </row>
    <row r="4308" spans="1:8" x14ac:dyDescent="0.2">
      <c r="A4308" t="s">
        <v>276</v>
      </c>
      <c r="B4308">
        <v>-921.00996376811588</v>
      </c>
      <c r="C4308" t="s">
        <v>33</v>
      </c>
      <c r="D4308" t="s">
        <v>27</v>
      </c>
      <c r="E4308" t="s">
        <v>15</v>
      </c>
      <c r="F4308" t="s">
        <v>28</v>
      </c>
      <c r="G4308" t="s">
        <v>277</v>
      </c>
      <c r="H4308" t="s">
        <v>25</v>
      </c>
    </row>
    <row r="4309" spans="1:8" x14ac:dyDescent="0.2">
      <c r="A4309" t="s">
        <v>501</v>
      </c>
      <c r="B4309">
        <v>-206.93182455049219</v>
      </c>
      <c r="C4309" t="s">
        <v>33</v>
      </c>
      <c r="D4309" t="s">
        <v>27</v>
      </c>
      <c r="E4309" t="s">
        <v>15</v>
      </c>
      <c r="F4309" t="s">
        <v>28</v>
      </c>
      <c r="G4309" t="s">
        <v>502</v>
      </c>
      <c r="H4309" t="s">
        <v>25</v>
      </c>
    </row>
    <row r="4310" spans="1:8" x14ac:dyDescent="0.2">
      <c r="A4310" t="s">
        <v>392</v>
      </c>
      <c r="B4310">
        <v>1</v>
      </c>
      <c r="C4310" t="s">
        <v>26</v>
      </c>
      <c r="D4310" t="s">
        <v>10</v>
      </c>
      <c r="E4310" t="s">
        <v>15</v>
      </c>
      <c r="F4310" t="s">
        <v>24</v>
      </c>
      <c r="G4310" t="s">
        <v>71</v>
      </c>
      <c r="H4310" t="s">
        <v>25</v>
      </c>
    </row>
    <row r="4312" spans="1:8" ht="16" x14ac:dyDescent="0.2">
      <c r="A4312" s="1" t="s">
        <v>4</v>
      </c>
      <c r="B4312" s="1" t="s">
        <v>336</v>
      </c>
    </row>
    <row r="4313" spans="1:8" x14ac:dyDescent="0.2">
      <c r="A4313" t="s">
        <v>5</v>
      </c>
      <c r="B4313" t="s">
        <v>26</v>
      </c>
    </row>
    <row r="4314" spans="1:8" x14ac:dyDescent="0.2">
      <c r="A4314" t="s">
        <v>6</v>
      </c>
      <c r="B4314">
        <v>1</v>
      </c>
    </row>
    <row r="4315" spans="1:8" x14ac:dyDescent="0.2">
      <c r="A4315" t="s">
        <v>7</v>
      </c>
      <c r="B4315" t="s">
        <v>73</v>
      </c>
    </row>
    <row r="4316" spans="1:8" x14ac:dyDescent="0.2">
      <c r="A4316" t="s">
        <v>8</v>
      </c>
      <c r="B4316" t="s">
        <v>9</v>
      </c>
    </row>
    <row r="4317" spans="1:8" x14ac:dyDescent="0.2">
      <c r="A4317" t="s">
        <v>10</v>
      </c>
      <c r="B4317" t="s">
        <v>10</v>
      </c>
    </row>
    <row r="4318" spans="1:8" x14ac:dyDescent="0.2">
      <c r="A4318" t="s">
        <v>11</v>
      </c>
      <c r="B4318" t="s">
        <v>12</v>
      </c>
    </row>
    <row r="4319" spans="1:8" x14ac:dyDescent="0.2">
      <c r="A4319" t="s">
        <v>13</v>
      </c>
      <c r="B4319" t="s">
        <v>291</v>
      </c>
    </row>
    <row r="4320" spans="1:8" x14ac:dyDescent="0.2">
      <c r="A4320" t="s">
        <v>14</v>
      </c>
      <c r="B4320" t="s">
        <v>271</v>
      </c>
    </row>
    <row r="4321" spans="1:8" x14ac:dyDescent="0.2">
      <c r="A4321" t="s">
        <v>16</v>
      </c>
      <c r="B4321" t="s">
        <v>15</v>
      </c>
    </row>
    <row r="4322" spans="1:8" x14ac:dyDescent="0.2">
      <c r="A4322" t="s">
        <v>17</v>
      </c>
      <c r="B4322" t="s">
        <v>235</v>
      </c>
    </row>
    <row r="4323" spans="1:8" ht="16" x14ac:dyDescent="0.2">
      <c r="A4323" s="1" t="s">
        <v>18</v>
      </c>
    </row>
    <row r="4324" spans="1:8" x14ac:dyDescent="0.2">
      <c r="A4324" t="s">
        <v>19</v>
      </c>
      <c r="B4324" t="s">
        <v>20</v>
      </c>
      <c r="C4324" t="s">
        <v>5</v>
      </c>
      <c r="D4324" t="s">
        <v>10</v>
      </c>
      <c r="E4324" t="s">
        <v>22</v>
      </c>
      <c r="F4324" t="s">
        <v>8</v>
      </c>
      <c r="G4324" t="s">
        <v>7</v>
      </c>
      <c r="H4324" t="s">
        <v>23</v>
      </c>
    </row>
    <row r="4325" spans="1:8" x14ac:dyDescent="0.2">
      <c r="A4325" t="s">
        <v>486</v>
      </c>
      <c r="B4325">
        <v>71.719202898550719</v>
      </c>
      <c r="C4325" t="s">
        <v>26</v>
      </c>
      <c r="D4325" t="s">
        <v>27</v>
      </c>
      <c r="E4325" t="s">
        <v>15</v>
      </c>
      <c r="F4325" t="s">
        <v>28</v>
      </c>
      <c r="G4325" t="s">
        <v>487</v>
      </c>
      <c r="H4325" t="s">
        <v>25</v>
      </c>
    </row>
    <row r="4326" spans="1:8" x14ac:dyDescent="0.2">
      <c r="A4326" t="s">
        <v>61</v>
      </c>
      <c r="B4326">
        <v>101.1956521739131</v>
      </c>
      <c r="C4326" t="s">
        <v>33</v>
      </c>
      <c r="D4326" t="s">
        <v>27</v>
      </c>
      <c r="E4326" t="s">
        <v>15</v>
      </c>
      <c r="F4326" t="s">
        <v>28</v>
      </c>
      <c r="G4326" t="s">
        <v>61</v>
      </c>
      <c r="H4326" t="s">
        <v>62</v>
      </c>
    </row>
    <row r="4327" spans="1:8" x14ac:dyDescent="0.2">
      <c r="A4327" t="s">
        <v>272</v>
      </c>
      <c r="B4327">
        <v>950</v>
      </c>
      <c r="C4327" t="s">
        <v>33</v>
      </c>
      <c r="D4327" t="s">
        <v>27</v>
      </c>
      <c r="E4327" t="s">
        <v>15</v>
      </c>
      <c r="F4327" t="s">
        <v>28</v>
      </c>
      <c r="G4327" t="s">
        <v>273</v>
      </c>
      <c r="H4327" t="s">
        <v>62</v>
      </c>
    </row>
    <row r="4328" spans="1:8" x14ac:dyDescent="0.2">
      <c r="A4328" t="s">
        <v>274</v>
      </c>
      <c r="B4328">
        <v>204.73404901311619</v>
      </c>
      <c r="C4328" t="s">
        <v>33</v>
      </c>
      <c r="D4328" t="s">
        <v>27</v>
      </c>
      <c r="E4328" t="s">
        <v>15</v>
      </c>
      <c r="F4328" t="s">
        <v>28</v>
      </c>
      <c r="G4328" t="s">
        <v>500</v>
      </c>
      <c r="H4328" t="s">
        <v>275</v>
      </c>
    </row>
    <row r="4329" spans="1:8" x14ac:dyDescent="0.2">
      <c r="A4329" t="s">
        <v>276</v>
      </c>
      <c r="B4329">
        <v>-920.52355072463763</v>
      </c>
      <c r="C4329" t="s">
        <v>33</v>
      </c>
      <c r="D4329" t="s">
        <v>27</v>
      </c>
      <c r="E4329" t="s">
        <v>15</v>
      </c>
      <c r="F4329" t="s">
        <v>28</v>
      </c>
      <c r="G4329" t="s">
        <v>277</v>
      </c>
      <c r="H4329" t="s">
        <v>25</v>
      </c>
    </row>
    <row r="4330" spans="1:8" x14ac:dyDescent="0.2">
      <c r="A4330" t="s">
        <v>501</v>
      </c>
      <c r="B4330">
        <v>-204.73404901311619</v>
      </c>
      <c r="C4330" t="s">
        <v>33</v>
      </c>
      <c r="D4330" t="s">
        <v>27</v>
      </c>
      <c r="E4330" t="s">
        <v>15</v>
      </c>
      <c r="F4330" t="s">
        <v>28</v>
      </c>
      <c r="G4330" t="s">
        <v>502</v>
      </c>
      <c r="H4330" t="s">
        <v>25</v>
      </c>
    </row>
    <row r="4331" spans="1:8" x14ac:dyDescent="0.2">
      <c r="A4331" t="s">
        <v>336</v>
      </c>
      <c r="B4331">
        <v>1</v>
      </c>
      <c r="C4331" t="s">
        <v>26</v>
      </c>
      <c r="D4331" t="s">
        <v>10</v>
      </c>
      <c r="E4331" t="s">
        <v>15</v>
      </c>
      <c r="F4331" t="s">
        <v>24</v>
      </c>
      <c r="G4331" t="s">
        <v>73</v>
      </c>
      <c r="H4331" t="s">
        <v>25</v>
      </c>
    </row>
    <row r="4334" spans="1:8" ht="16" x14ac:dyDescent="0.2">
      <c r="A4334" s="1" t="s">
        <v>4</v>
      </c>
      <c r="B4334" s="1" t="s">
        <v>393</v>
      </c>
    </row>
    <row r="4335" spans="1:8" x14ac:dyDescent="0.2">
      <c r="A4335" t="s">
        <v>5</v>
      </c>
      <c r="B4335" t="s">
        <v>26</v>
      </c>
    </row>
    <row r="4336" spans="1:8" x14ac:dyDescent="0.2">
      <c r="A4336" t="s">
        <v>6</v>
      </c>
      <c r="B4336">
        <v>1</v>
      </c>
    </row>
    <row r="4337" spans="1:8" x14ac:dyDescent="0.2">
      <c r="A4337" t="s">
        <v>7</v>
      </c>
      <c r="B4337" t="s">
        <v>71</v>
      </c>
    </row>
    <row r="4338" spans="1:8" x14ac:dyDescent="0.2">
      <c r="A4338" t="s">
        <v>8</v>
      </c>
      <c r="B4338" t="s">
        <v>9</v>
      </c>
    </row>
    <row r="4339" spans="1:8" x14ac:dyDescent="0.2">
      <c r="A4339" t="s">
        <v>10</v>
      </c>
      <c r="B4339" t="s">
        <v>10</v>
      </c>
    </row>
    <row r="4340" spans="1:8" x14ac:dyDescent="0.2">
      <c r="A4340" t="s">
        <v>11</v>
      </c>
      <c r="B4340" t="s">
        <v>12</v>
      </c>
    </row>
    <row r="4341" spans="1:8" x14ac:dyDescent="0.2">
      <c r="A4341" t="s">
        <v>13</v>
      </c>
      <c r="B4341" t="s">
        <v>291</v>
      </c>
    </row>
    <row r="4342" spans="1:8" x14ac:dyDescent="0.2">
      <c r="A4342" t="s">
        <v>14</v>
      </c>
      <c r="B4342" t="s">
        <v>271</v>
      </c>
    </row>
    <row r="4343" spans="1:8" x14ac:dyDescent="0.2">
      <c r="A4343" t="s">
        <v>16</v>
      </c>
      <c r="B4343" t="s">
        <v>15</v>
      </c>
    </row>
    <row r="4344" spans="1:8" x14ac:dyDescent="0.2">
      <c r="A4344" t="s">
        <v>17</v>
      </c>
      <c r="B4344" t="s">
        <v>236</v>
      </c>
    </row>
    <row r="4345" spans="1:8" ht="16" x14ac:dyDescent="0.2">
      <c r="A4345" s="1" t="s">
        <v>18</v>
      </c>
    </row>
    <row r="4346" spans="1:8" x14ac:dyDescent="0.2">
      <c r="A4346" t="s">
        <v>19</v>
      </c>
      <c r="B4346" t="s">
        <v>20</v>
      </c>
      <c r="C4346" t="s">
        <v>5</v>
      </c>
      <c r="D4346" t="s">
        <v>10</v>
      </c>
      <c r="E4346" t="s">
        <v>22</v>
      </c>
      <c r="F4346" t="s">
        <v>8</v>
      </c>
      <c r="G4346" t="s">
        <v>7</v>
      </c>
      <c r="H4346" t="s">
        <v>23</v>
      </c>
    </row>
    <row r="4347" spans="1:8" x14ac:dyDescent="0.2">
      <c r="A4347" t="s">
        <v>610</v>
      </c>
      <c r="B4347">
        <f>23.6</f>
        <v>23.6</v>
      </c>
      <c r="C4347" t="s">
        <v>33</v>
      </c>
      <c r="D4347" t="s">
        <v>39</v>
      </c>
      <c r="F4347" t="s">
        <v>28</v>
      </c>
      <c r="G4347" t="s">
        <v>611</v>
      </c>
      <c r="H4347" t="s">
        <v>34</v>
      </c>
    </row>
    <row r="4348" spans="1:8" x14ac:dyDescent="0.2">
      <c r="A4348" t="s">
        <v>61</v>
      </c>
      <c r="B4348">
        <v>103.84603859567331</v>
      </c>
      <c r="C4348" t="s">
        <v>33</v>
      </c>
      <c r="D4348" t="s">
        <v>27</v>
      </c>
      <c r="E4348" t="s">
        <v>15</v>
      </c>
      <c r="F4348" t="s">
        <v>28</v>
      </c>
      <c r="G4348" t="s">
        <v>61</v>
      </c>
      <c r="H4348" t="s">
        <v>62</v>
      </c>
    </row>
    <row r="4349" spans="1:8" x14ac:dyDescent="0.2">
      <c r="A4349" t="s">
        <v>283</v>
      </c>
      <c r="B4349">
        <v>5.9804347826086968</v>
      </c>
      <c r="C4349" t="s">
        <v>33</v>
      </c>
      <c r="D4349" t="s">
        <v>27</v>
      </c>
      <c r="E4349" t="s">
        <v>15</v>
      </c>
      <c r="F4349" t="s">
        <v>28</v>
      </c>
      <c r="G4349" t="s">
        <v>284</v>
      </c>
      <c r="H4349" t="s">
        <v>34</v>
      </c>
    </row>
    <row r="4350" spans="1:8" x14ac:dyDescent="0.2">
      <c r="A4350" t="s">
        <v>285</v>
      </c>
      <c r="B4350">
        <v>4.4853260869565217</v>
      </c>
      <c r="C4350" t="s">
        <v>33</v>
      </c>
      <c r="D4350" t="s">
        <v>27</v>
      </c>
      <c r="E4350" t="s">
        <v>15</v>
      </c>
      <c r="F4350" t="s">
        <v>28</v>
      </c>
      <c r="G4350" t="s">
        <v>286</v>
      </c>
      <c r="H4350" t="s">
        <v>34</v>
      </c>
    </row>
    <row r="4351" spans="1:8" x14ac:dyDescent="0.2">
      <c r="A4351" t="s">
        <v>278</v>
      </c>
      <c r="B4351">
        <v>27.4631640498399</v>
      </c>
      <c r="C4351" t="s">
        <v>33</v>
      </c>
      <c r="D4351" t="s">
        <v>27</v>
      </c>
      <c r="E4351" t="s">
        <v>15</v>
      </c>
      <c r="F4351" t="s">
        <v>28</v>
      </c>
      <c r="G4351" t="s">
        <v>279</v>
      </c>
      <c r="H4351" t="s">
        <v>275</v>
      </c>
    </row>
    <row r="4352" spans="1:8" x14ac:dyDescent="0.2">
      <c r="A4352" t="s">
        <v>272</v>
      </c>
      <c r="B4352">
        <v>1005.666900084415</v>
      </c>
      <c r="C4352" t="s">
        <v>33</v>
      </c>
      <c r="D4352" t="s">
        <v>27</v>
      </c>
      <c r="E4352" t="s">
        <v>15</v>
      </c>
      <c r="F4352" t="s">
        <v>28</v>
      </c>
      <c r="G4352" t="s">
        <v>273</v>
      </c>
      <c r="H4352" t="s">
        <v>62</v>
      </c>
    </row>
    <row r="4353" spans="1:8" x14ac:dyDescent="0.2">
      <c r="A4353" t="s">
        <v>274</v>
      </c>
      <c r="B4353">
        <v>241.6809484855774</v>
      </c>
      <c r="C4353" t="s">
        <v>33</v>
      </c>
      <c r="D4353" t="s">
        <v>27</v>
      </c>
      <c r="E4353" t="s">
        <v>15</v>
      </c>
      <c r="F4353" t="s">
        <v>28</v>
      </c>
      <c r="G4353" t="s">
        <v>500</v>
      </c>
      <c r="H4353" t="s">
        <v>275</v>
      </c>
    </row>
    <row r="4354" spans="1:8" x14ac:dyDescent="0.2">
      <c r="A4354" t="s">
        <v>287</v>
      </c>
      <c r="B4354">
        <v>8.9706521739130434</v>
      </c>
      <c r="C4354" t="s">
        <v>33</v>
      </c>
      <c r="D4354" t="s">
        <v>27</v>
      </c>
      <c r="E4354" t="s">
        <v>15</v>
      </c>
      <c r="F4354" t="s">
        <v>28</v>
      </c>
      <c r="G4354" t="s">
        <v>288</v>
      </c>
      <c r="H4354" t="s">
        <v>34</v>
      </c>
    </row>
    <row r="4355" spans="1:8" x14ac:dyDescent="0.2">
      <c r="A4355" t="s">
        <v>289</v>
      </c>
      <c r="B4355">
        <v>3.9869565217391298</v>
      </c>
      <c r="C4355" t="s">
        <v>33</v>
      </c>
      <c r="D4355" t="s">
        <v>27</v>
      </c>
      <c r="E4355" t="s">
        <v>15</v>
      </c>
      <c r="F4355" t="s">
        <v>28</v>
      </c>
      <c r="G4355" t="s">
        <v>290</v>
      </c>
      <c r="H4355" t="s">
        <v>34</v>
      </c>
    </row>
    <row r="4356" spans="1:8" x14ac:dyDescent="0.2">
      <c r="A4356" t="s">
        <v>280</v>
      </c>
      <c r="B4356">
        <v>-50.886533615057289</v>
      </c>
      <c r="C4356" t="s">
        <v>33</v>
      </c>
      <c r="D4356" t="s">
        <v>27</v>
      </c>
      <c r="E4356" t="s">
        <v>15</v>
      </c>
      <c r="F4356" t="s">
        <v>28</v>
      </c>
      <c r="G4356" t="s">
        <v>281</v>
      </c>
      <c r="H4356" t="s">
        <v>282</v>
      </c>
    </row>
    <row r="4357" spans="1:8" x14ac:dyDescent="0.2">
      <c r="A4357" t="s">
        <v>60</v>
      </c>
      <c r="B4357">
        <v>29.15</v>
      </c>
      <c r="C4357" t="s">
        <v>26</v>
      </c>
      <c r="D4357" t="s">
        <v>27</v>
      </c>
      <c r="E4357" t="s">
        <v>15</v>
      </c>
      <c r="F4357" t="s">
        <v>28</v>
      </c>
      <c r="G4357" t="s">
        <v>54</v>
      </c>
      <c r="H4357" t="s">
        <v>34</v>
      </c>
    </row>
    <row r="4358" spans="1:8" x14ac:dyDescent="0.2">
      <c r="A4358" t="s">
        <v>276</v>
      </c>
      <c r="B4358">
        <v>-930.97086148874178</v>
      </c>
      <c r="C4358" t="s">
        <v>33</v>
      </c>
      <c r="D4358" t="s">
        <v>27</v>
      </c>
      <c r="E4358" t="s">
        <v>15</v>
      </c>
      <c r="F4358" t="s">
        <v>28</v>
      </c>
      <c r="G4358" t="s">
        <v>277</v>
      </c>
      <c r="H4358" t="s">
        <v>25</v>
      </c>
    </row>
    <row r="4359" spans="1:8" x14ac:dyDescent="0.2">
      <c r="A4359" t="s">
        <v>501</v>
      </c>
      <c r="B4359">
        <v>-241.6809484855774</v>
      </c>
      <c r="C4359" t="s">
        <v>33</v>
      </c>
      <c r="D4359" t="s">
        <v>27</v>
      </c>
      <c r="E4359" t="s">
        <v>15</v>
      </c>
      <c r="F4359" t="s">
        <v>28</v>
      </c>
      <c r="G4359" t="s">
        <v>502</v>
      </c>
      <c r="H4359" t="s">
        <v>25</v>
      </c>
    </row>
    <row r="4360" spans="1:8" x14ac:dyDescent="0.2">
      <c r="A4360" t="s">
        <v>56</v>
      </c>
      <c r="B4360">
        <v>141.60096034730799</v>
      </c>
      <c r="C4360" t="s">
        <v>63</v>
      </c>
      <c r="D4360" t="s">
        <v>39</v>
      </c>
      <c r="E4360" t="s">
        <v>15</v>
      </c>
      <c r="F4360" t="s">
        <v>28</v>
      </c>
      <c r="G4360" t="s">
        <v>58</v>
      </c>
      <c r="H4360" t="s">
        <v>34</v>
      </c>
    </row>
    <row r="4361" spans="1:8" x14ac:dyDescent="0.2">
      <c r="A4361" t="s">
        <v>393</v>
      </c>
      <c r="B4361">
        <v>1</v>
      </c>
      <c r="C4361" t="s">
        <v>26</v>
      </c>
      <c r="D4361" t="s">
        <v>10</v>
      </c>
      <c r="E4361" t="s">
        <v>15</v>
      </c>
      <c r="F4361" t="s">
        <v>24</v>
      </c>
      <c r="G4361" t="s">
        <v>71</v>
      </c>
      <c r="H4361" t="s">
        <v>25</v>
      </c>
    </row>
    <row r="4363" spans="1:8" ht="16" x14ac:dyDescent="0.2">
      <c r="A4363" s="1" t="s">
        <v>4</v>
      </c>
      <c r="B4363" s="1" t="s">
        <v>337</v>
      </c>
    </row>
    <row r="4364" spans="1:8" x14ac:dyDescent="0.2">
      <c r="A4364" t="s">
        <v>5</v>
      </c>
      <c r="B4364" t="s">
        <v>26</v>
      </c>
    </row>
    <row r="4365" spans="1:8" x14ac:dyDescent="0.2">
      <c r="A4365" t="s">
        <v>6</v>
      </c>
      <c r="B4365">
        <v>1</v>
      </c>
    </row>
    <row r="4366" spans="1:8" x14ac:dyDescent="0.2">
      <c r="A4366" t="s">
        <v>7</v>
      </c>
      <c r="B4366" t="s">
        <v>73</v>
      </c>
    </row>
    <row r="4367" spans="1:8" x14ac:dyDescent="0.2">
      <c r="A4367" t="s">
        <v>8</v>
      </c>
      <c r="B4367" t="s">
        <v>9</v>
      </c>
    </row>
    <row r="4368" spans="1:8" x14ac:dyDescent="0.2">
      <c r="A4368" t="s">
        <v>10</v>
      </c>
      <c r="B4368" t="s">
        <v>10</v>
      </c>
    </row>
    <row r="4369" spans="1:8" x14ac:dyDescent="0.2">
      <c r="A4369" t="s">
        <v>11</v>
      </c>
      <c r="B4369" t="s">
        <v>12</v>
      </c>
    </row>
    <row r="4370" spans="1:8" x14ac:dyDescent="0.2">
      <c r="A4370" t="s">
        <v>13</v>
      </c>
      <c r="B4370" t="s">
        <v>291</v>
      </c>
    </row>
    <row r="4371" spans="1:8" x14ac:dyDescent="0.2">
      <c r="A4371" t="s">
        <v>14</v>
      </c>
      <c r="B4371" t="s">
        <v>271</v>
      </c>
    </row>
    <row r="4372" spans="1:8" x14ac:dyDescent="0.2">
      <c r="A4372" t="s">
        <v>16</v>
      </c>
      <c r="B4372" t="s">
        <v>15</v>
      </c>
    </row>
    <row r="4373" spans="1:8" x14ac:dyDescent="0.2">
      <c r="A4373" t="s">
        <v>17</v>
      </c>
      <c r="B4373" t="s">
        <v>237</v>
      </c>
    </row>
    <row r="4374" spans="1:8" ht="16" x14ac:dyDescent="0.2">
      <c r="A4374" s="1" t="s">
        <v>18</v>
      </c>
    </row>
    <row r="4375" spans="1:8" x14ac:dyDescent="0.2">
      <c r="A4375" t="s">
        <v>19</v>
      </c>
      <c r="B4375" t="s">
        <v>20</v>
      </c>
      <c r="C4375" t="s">
        <v>5</v>
      </c>
      <c r="D4375" t="s">
        <v>10</v>
      </c>
      <c r="E4375" t="s">
        <v>22</v>
      </c>
      <c r="F4375" t="s">
        <v>8</v>
      </c>
      <c r="G4375" t="s">
        <v>7</v>
      </c>
      <c r="H4375" t="s">
        <v>23</v>
      </c>
    </row>
    <row r="4376" spans="1:8" x14ac:dyDescent="0.2">
      <c r="A4376" t="s">
        <v>610</v>
      </c>
      <c r="B4376">
        <f>30.9</f>
        <v>30.9</v>
      </c>
      <c r="C4376" t="s">
        <v>33</v>
      </c>
      <c r="D4376" t="s">
        <v>39</v>
      </c>
      <c r="F4376" t="s">
        <v>28</v>
      </c>
      <c r="G4376" t="s">
        <v>611</v>
      </c>
      <c r="H4376" t="s">
        <v>34</v>
      </c>
    </row>
    <row r="4377" spans="1:8" x14ac:dyDescent="0.2">
      <c r="A4377" t="s">
        <v>61</v>
      </c>
      <c r="B4377">
        <v>109.4499642294094</v>
      </c>
      <c r="C4377" t="s">
        <v>33</v>
      </c>
      <c r="D4377" t="s">
        <v>27</v>
      </c>
      <c r="E4377" t="s">
        <v>15</v>
      </c>
      <c r="F4377" t="s">
        <v>28</v>
      </c>
      <c r="G4377" t="s">
        <v>61</v>
      </c>
      <c r="H4377" t="s">
        <v>62</v>
      </c>
    </row>
    <row r="4378" spans="1:8" x14ac:dyDescent="0.2">
      <c r="A4378" t="s">
        <v>283</v>
      </c>
      <c r="B4378">
        <v>5.9608695652173918</v>
      </c>
      <c r="C4378" t="s">
        <v>33</v>
      </c>
      <c r="D4378" t="s">
        <v>27</v>
      </c>
      <c r="E4378" t="s">
        <v>15</v>
      </c>
      <c r="F4378" t="s">
        <v>28</v>
      </c>
      <c r="G4378" t="s">
        <v>284</v>
      </c>
      <c r="H4378" t="s">
        <v>34</v>
      </c>
    </row>
    <row r="4379" spans="1:8" x14ac:dyDescent="0.2">
      <c r="A4379" t="s">
        <v>285</v>
      </c>
      <c r="B4379">
        <v>4.4706521739130434</v>
      </c>
      <c r="C4379" t="s">
        <v>33</v>
      </c>
      <c r="D4379" t="s">
        <v>27</v>
      </c>
      <c r="E4379" t="s">
        <v>15</v>
      </c>
      <c r="F4379" t="s">
        <v>28</v>
      </c>
      <c r="G4379" t="s">
        <v>286</v>
      </c>
      <c r="H4379" t="s">
        <v>34</v>
      </c>
    </row>
    <row r="4380" spans="1:8" x14ac:dyDescent="0.2">
      <c r="A4380" t="s">
        <v>278</v>
      </c>
      <c r="B4380">
        <v>35.562920426998701</v>
      </c>
      <c r="C4380" t="s">
        <v>33</v>
      </c>
      <c r="D4380" t="s">
        <v>27</v>
      </c>
      <c r="E4380" t="s">
        <v>15</v>
      </c>
      <c r="F4380" t="s">
        <v>28</v>
      </c>
      <c r="G4380" t="s">
        <v>279</v>
      </c>
      <c r="H4380" t="s">
        <v>275</v>
      </c>
    </row>
    <row r="4381" spans="1:8" x14ac:dyDescent="0.2">
      <c r="A4381" t="s">
        <v>272</v>
      </c>
      <c r="B4381">
        <v>1027.4894601128231</v>
      </c>
      <c r="C4381" t="s">
        <v>33</v>
      </c>
      <c r="D4381" t="s">
        <v>27</v>
      </c>
      <c r="E4381" t="s">
        <v>15</v>
      </c>
      <c r="F4381" t="s">
        <v>28</v>
      </c>
      <c r="G4381" t="s">
        <v>273</v>
      </c>
      <c r="H4381" t="s">
        <v>62</v>
      </c>
    </row>
    <row r="4382" spans="1:8" x14ac:dyDescent="0.2">
      <c r="A4382" t="s">
        <v>274</v>
      </c>
      <c r="B4382">
        <v>231.68793205387161</v>
      </c>
      <c r="C4382" t="s">
        <v>33</v>
      </c>
      <c r="D4382" t="s">
        <v>27</v>
      </c>
      <c r="E4382" t="s">
        <v>15</v>
      </c>
      <c r="F4382" t="s">
        <v>28</v>
      </c>
      <c r="G4382" t="s">
        <v>500</v>
      </c>
      <c r="H4382" t="s">
        <v>275</v>
      </c>
    </row>
    <row r="4383" spans="1:8" x14ac:dyDescent="0.2">
      <c r="A4383" t="s">
        <v>287</v>
      </c>
      <c r="B4383">
        <v>8.9413043478260867</v>
      </c>
      <c r="C4383" t="s">
        <v>33</v>
      </c>
      <c r="D4383" t="s">
        <v>27</v>
      </c>
      <c r="E4383" t="s">
        <v>15</v>
      </c>
      <c r="F4383" t="s">
        <v>28</v>
      </c>
      <c r="G4383" t="s">
        <v>288</v>
      </c>
      <c r="H4383" t="s">
        <v>34</v>
      </c>
    </row>
    <row r="4384" spans="1:8" x14ac:dyDescent="0.2">
      <c r="A4384" t="s">
        <v>289</v>
      </c>
      <c r="B4384">
        <v>3.973913043478261</v>
      </c>
      <c r="C4384" t="s">
        <v>33</v>
      </c>
      <c r="D4384" t="s">
        <v>27</v>
      </c>
      <c r="E4384" t="s">
        <v>15</v>
      </c>
      <c r="F4384" t="s">
        <v>28</v>
      </c>
      <c r="G4384" t="s">
        <v>290</v>
      </c>
      <c r="H4384" t="s">
        <v>34</v>
      </c>
    </row>
    <row r="4385" spans="1:8" x14ac:dyDescent="0.2">
      <c r="A4385" t="s">
        <v>280</v>
      </c>
      <c r="B4385">
        <v>-58.909659557433493</v>
      </c>
      <c r="C4385" t="s">
        <v>33</v>
      </c>
      <c r="D4385" t="s">
        <v>27</v>
      </c>
      <c r="E4385" t="s">
        <v>15</v>
      </c>
      <c r="F4385" t="s">
        <v>28</v>
      </c>
      <c r="G4385" t="s">
        <v>281</v>
      </c>
      <c r="H4385" t="s">
        <v>282</v>
      </c>
    </row>
    <row r="4386" spans="1:8" x14ac:dyDescent="0.2">
      <c r="A4386" t="s">
        <v>60</v>
      </c>
      <c r="B4386">
        <v>33.566666666666663</v>
      </c>
      <c r="C4386" t="s">
        <v>26</v>
      </c>
      <c r="D4386" t="s">
        <v>27</v>
      </c>
      <c r="E4386" t="s">
        <v>15</v>
      </c>
      <c r="F4386" t="s">
        <v>28</v>
      </c>
      <c r="G4386" t="s">
        <v>54</v>
      </c>
      <c r="H4386" t="s">
        <v>34</v>
      </c>
    </row>
    <row r="4387" spans="1:8" x14ac:dyDescent="0.2">
      <c r="A4387" t="s">
        <v>276</v>
      </c>
      <c r="B4387">
        <v>-951.60616255008017</v>
      </c>
      <c r="C4387" t="s">
        <v>33</v>
      </c>
      <c r="D4387" t="s">
        <v>27</v>
      </c>
      <c r="E4387" t="s">
        <v>15</v>
      </c>
      <c r="F4387" t="s">
        <v>28</v>
      </c>
      <c r="G4387" t="s">
        <v>277</v>
      </c>
      <c r="H4387" t="s">
        <v>25</v>
      </c>
    </row>
    <row r="4388" spans="1:8" x14ac:dyDescent="0.2">
      <c r="A4388" t="s">
        <v>501</v>
      </c>
      <c r="B4388">
        <v>-231.68793205387161</v>
      </c>
      <c r="C4388" t="s">
        <v>33</v>
      </c>
      <c r="D4388" t="s">
        <v>27</v>
      </c>
      <c r="E4388" t="s">
        <v>15</v>
      </c>
      <c r="F4388" t="s">
        <v>28</v>
      </c>
      <c r="G4388" t="s">
        <v>502</v>
      </c>
      <c r="H4388" t="s">
        <v>25</v>
      </c>
    </row>
    <row r="4389" spans="1:8" x14ac:dyDescent="0.2">
      <c r="A4389" t="s">
        <v>56</v>
      </c>
      <c r="B4389">
        <v>123.38520732132901</v>
      </c>
      <c r="C4389" t="s">
        <v>63</v>
      </c>
      <c r="D4389" t="s">
        <v>39</v>
      </c>
      <c r="E4389" t="s">
        <v>15</v>
      </c>
      <c r="F4389" t="s">
        <v>28</v>
      </c>
      <c r="G4389" t="s">
        <v>58</v>
      </c>
      <c r="H4389" t="s">
        <v>34</v>
      </c>
    </row>
    <row r="4390" spans="1:8" x14ac:dyDescent="0.2">
      <c r="A4390" t="s">
        <v>337</v>
      </c>
      <c r="B4390">
        <v>1</v>
      </c>
      <c r="C4390" t="s">
        <v>26</v>
      </c>
      <c r="D4390" t="s">
        <v>10</v>
      </c>
      <c r="E4390" t="s">
        <v>15</v>
      </c>
      <c r="F4390" t="s">
        <v>24</v>
      </c>
      <c r="G4390" t="s">
        <v>73</v>
      </c>
      <c r="H4390" t="s">
        <v>25</v>
      </c>
    </row>
    <row r="4393" spans="1:8" ht="16" x14ac:dyDescent="0.2">
      <c r="A4393" s="1" t="s">
        <v>4</v>
      </c>
      <c r="B4393" s="1" t="s">
        <v>394</v>
      </c>
    </row>
    <row r="4394" spans="1:8" x14ac:dyDescent="0.2">
      <c r="A4394" t="s">
        <v>5</v>
      </c>
      <c r="B4394" t="s">
        <v>26</v>
      </c>
    </row>
    <row r="4395" spans="1:8" x14ac:dyDescent="0.2">
      <c r="A4395" t="s">
        <v>6</v>
      </c>
      <c r="B4395">
        <v>1</v>
      </c>
    </row>
    <row r="4396" spans="1:8" x14ac:dyDescent="0.2">
      <c r="A4396" t="s">
        <v>7</v>
      </c>
      <c r="B4396" t="s">
        <v>71</v>
      </c>
    </row>
    <row r="4397" spans="1:8" x14ac:dyDescent="0.2">
      <c r="A4397" t="s">
        <v>8</v>
      </c>
      <c r="B4397" t="s">
        <v>9</v>
      </c>
    </row>
    <row r="4398" spans="1:8" x14ac:dyDescent="0.2">
      <c r="A4398" t="s">
        <v>10</v>
      </c>
      <c r="B4398" t="s">
        <v>10</v>
      </c>
    </row>
    <row r="4399" spans="1:8" x14ac:dyDescent="0.2">
      <c r="A4399" t="s">
        <v>11</v>
      </c>
      <c r="B4399" t="s">
        <v>12</v>
      </c>
    </row>
    <row r="4400" spans="1:8" x14ac:dyDescent="0.2">
      <c r="A4400" t="s">
        <v>13</v>
      </c>
      <c r="B4400" t="s">
        <v>291</v>
      </c>
    </row>
    <row r="4401" spans="1:8" x14ac:dyDescent="0.2">
      <c r="A4401" t="s">
        <v>14</v>
      </c>
      <c r="B4401" t="s">
        <v>271</v>
      </c>
    </row>
    <row r="4402" spans="1:8" x14ac:dyDescent="0.2">
      <c r="A4402" t="s">
        <v>16</v>
      </c>
      <c r="B4402" t="s">
        <v>15</v>
      </c>
    </row>
    <row r="4403" spans="1:8" x14ac:dyDescent="0.2">
      <c r="A4403" t="s">
        <v>17</v>
      </c>
      <c r="B4403" t="s">
        <v>238</v>
      </c>
    </row>
    <row r="4404" spans="1:8" ht="16" x14ac:dyDescent="0.2">
      <c r="A4404" s="1" t="s">
        <v>18</v>
      </c>
    </row>
    <row r="4405" spans="1:8" x14ac:dyDescent="0.2">
      <c r="A4405" t="s">
        <v>19</v>
      </c>
      <c r="B4405" t="s">
        <v>20</v>
      </c>
      <c r="C4405" t="s">
        <v>5</v>
      </c>
      <c r="D4405" t="s">
        <v>10</v>
      </c>
      <c r="E4405" t="s">
        <v>22</v>
      </c>
      <c r="F4405" t="s">
        <v>8</v>
      </c>
      <c r="G4405" t="s">
        <v>7</v>
      </c>
      <c r="H4405" t="s">
        <v>23</v>
      </c>
    </row>
    <row r="4406" spans="1:8" x14ac:dyDescent="0.2">
      <c r="A4406" t="s">
        <v>610</v>
      </c>
      <c r="B4406">
        <f>23.6</f>
        <v>23.6</v>
      </c>
      <c r="C4406" t="s">
        <v>33</v>
      </c>
      <c r="D4406" t="s">
        <v>39</v>
      </c>
      <c r="F4406" t="s">
        <v>28</v>
      </c>
      <c r="G4406" t="s">
        <v>611</v>
      </c>
      <c r="H4406" t="s">
        <v>34</v>
      </c>
    </row>
    <row r="4407" spans="1:8" x14ac:dyDescent="0.2">
      <c r="A4407" t="s">
        <v>61</v>
      </c>
      <c r="B4407">
        <v>104.9214757675386</v>
      </c>
      <c r="C4407" t="s">
        <v>33</v>
      </c>
      <c r="D4407" t="s">
        <v>27</v>
      </c>
      <c r="E4407" t="s">
        <v>15</v>
      </c>
      <c r="F4407" t="s">
        <v>28</v>
      </c>
      <c r="G4407" t="s">
        <v>61</v>
      </c>
      <c r="H4407" t="s">
        <v>62</v>
      </c>
    </row>
    <row r="4408" spans="1:8" x14ac:dyDescent="0.2">
      <c r="A4408" t="s">
        <v>283</v>
      </c>
      <c r="B4408">
        <v>5.9804347826086968</v>
      </c>
      <c r="C4408" t="s">
        <v>33</v>
      </c>
      <c r="D4408" t="s">
        <v>27</v>
      </c>
      <c r="E4408" t="s">
        <v>15</v>
      </c>
      <c r="F4408" t="s">
        <v>28</v>
      </c>
      <c r="G4408" t="s">
        <v>284</v>
      </c>
      <c r="H4408" t="s">
        <v>34</v>
      </c>
    </row>
    <row r="4409" spans="1:8" x14ac:dyDescent="0.2">
      <c r="A4409" t="s">
        <v>285</v>
      </c>
      <c r="B4409">
        <v>4.4853260869565217</v>
      </c>
      <c r="C4409" t="s">
        <v>33</v>
      </c>
      <c r="D4409" t="s">
        <v>27</v>
      </c>
      <c r="E4409" t="s">
        <v>15</v>
      </c>
      <c r="F4409" t="s">
        <v>28</v>
      </c>
      <c r="G4409" t="s">
        <v>286</v>
      </c>
      <c r="H4409" t="s">
        <v>34</v>
      </c>
    </row>
    <row r="4410" spans="1:8" x14ac:dyDescent="0.2">
      <c r="A4410" t="s">
        <v>278</v>
      </c>
      <c r="B4410">
        <v>27.4631640498399</v>
      </c>
      <c r="C4410" t="s">
        <v>33</v>
      </c>
      <c r="D4410" t="s">
        <v>27</v>
      </c>
      <c r="E4410" t="s">
        <v>15</v>
      </c>
      <c r="F4410" t="s">
        <v>28</v>
      </c>
      <c r="G4410" t="s">
        <v>279</v>
      </c>
      <c r="H4410" t="s">
        <v>275</v>
      </c>
    </row>
    <row r="4411" spans="1:8" x14ac:dyDescent="0.2">
      <c r="A4411" t="s">
        <v>272</v>
      </c>
      <c r="B4411">
        <v>1016.081660064584</v>
      </c>
      <c r="C4411" t="s">
        <v>33</v>
      </c>
      <c r="D4411" t="s">
        <v>27</v>
      </c>
      <c r="E4411" t="s">
        <v>15</v>
      </c>
      <c r="F4411" t="s">
        <v>28</v>
      </c>
      <c r="G4411" t="s">
        <v>273</v>
      </c>
      <c r="H4411" t="s">
        <v>62</v>
      </c>
    </row>
    <row r="4412" spans="1:8" x14ac:dyDescent="0.2">
      <c r="A4412" t="s">
        <v>274</v>
      </c>
      <c r="B4412">
        <v>210.72109012414549</v>
      </c>
      <c r="C4412" t="s">
        <v>33</v>
      </c>
      <c r="D4412" t="s">
        <v>27</v>
      </c>
      <c r="E4412" t="s">
        <v>15</v>
      </c>
      <c r="F4412" t="s">
        <v>28</v>
      </c>
      <c r="G4412" t="s">
        <v>500</v>
      </c>
      <c r="H4412" t="s">
        <v>275</v>
      </c>
    </row>
    <row r="4413" spans="1:8" x14ac:dyDescent="0.2">
      <c r="A4413" t="s">
        <v>287</v>
      </c>
      <c r="B4413">
        <v>8.9706521739130434</v>
      </c>
      <c r="C4413" t="s">
        <v>33</v>
      </c>
      <c r="D4413" t="s">
        <v>27</v>
      </c>
      <c r="E4413" t="s">
        <v>15</v>
      </c>
      <c r="F4413" t="s">
        <v>28</v>
      </c>
      <c r="G4413" t="s">
        <v>288</v>
      </c>
      <c r="H4413" t="s">
        <v>34</v>
      </c>
    </row>
    <row r="4414" spans="1:8" x14ac:dyDescent="0.2">
      <c r="A4414" t="s">
        <v>289</v>
      </c>
      <c r="B4414">
        <v>3.9869565217391298</v>
      </c>
      <c r="C4414" t="s">
        <v>33</v>
      </c>
      <c r="D4414" t="s">
        <v>27</v>
      </c>
      <c r="E4414" t="s">
        <v>15</v>
      </c>
      <c r="F4414" t="s">
        <v>28</v>
      </c>
      <c r="G4414" t="s">
        <v>290</v>
      </c>
      <c r="H4414" t="s">
        <v>34</v>
      </c>
    </row>
    <row r="4415" spans="1:8" x14ac:dyDescent="0.2">
      <c r="A4415" t="s">
        <v>280</v>
      </c>
      <c r="B4415">
        <v>-50.886533615057289</v>
      </c>
      <c r="C4415" t="s">
        <v>33</v>
      </c>
      <c r="D4415" t="s">
        <v>27</v>
      </c>
      <c r="E4415" t="s">
        <v>15</v>
      </c>
      <c r="F4415" t="s">
        <v>28</v>
      </c>
      <c r="G4415" t="s">
        <v>281</v>
      </c>
      <c r="H4415" t="s">
        <v>282</v>
      </c>
    </row>
    <row r="4416" spans="1:8" x14ac:dyDescent="0.2">
      <c r="A4416" t="s">
        <v>60</v>
      </c>
      <c r="B4416">
        <v>29.42499999999999</v>
      </c>
      <c r="C4416" t="s">
        <v>26</v>
      </c>
      <c r="D4416" t="s">
        <v>27</v>
      </c>
      <c r="E4416" t="s">
        <v>15</v>
      </c>
      <c r="F4416" t="s">
        <v>28</v>
      </c>
      <c r="G4416" t="s">
        <v>54</v>
      </c>
      <c r="H4416" t="s">
        <v>34</v>
      </c>
    </row>
    <row r="4417" spans="1:8" x14ac:dyDescent="0.2">
      <c r="A4417" t="s">
        <v>276</v>
      </c>
      <c r="B4417">
        <v>-940.58518429704577</v>
      </c>
      <c r="C4417" t="s">
        <v>33</v>
      </c>
      <c r="D4417" t="s">
        <v>27</v>
      </c>
      <c r="E4417" t="s">
        <v>15</v>
      </c>
      <c r="F4417" t="s">
        <v>28</v>
      </c>
      <c r="G4417" t="s">
        <v>277</v>
      </c>
      <c r="H4417" t="s">
        <v>25</v>
      </c>
    </row>
    <row r="4418" spans="1:8" x14ac:dyDescent="0.2">
      <c r="A4418" t="s">
        <v>501</v>
      </c>
      <c r="B4418">
        <v>-210.72109012414549</v>
      </c>
      <c r="C4418" t="s">
        <v>33</v>
      </c>
      <c r="D4418" t="s">
        <v>27</v>
      </c>
      <c r="E4418" t="s">
        <v>15</v>
      </c>
      <c r="F4418" t="s">
        <v>28</v>
      </c>
      <c r="G4418" t="s">
        <v>502</v>
      </c>
      <c r="H4418" t="s">
        <v>25</v>
      </c>
    </row>
    <row r="4419" spans="1:8" x14ac:dyDescent="0.2">
      <c r="A4419" t="s">
        <v>56</v>
      </c>
      <c r="B4419">
        <v>141.60096034730799</v>
      </c>
      <c r="C4419" t="s">
        <v>63</v>
      </c>
      <c r="D4419" t="s">
        <v>39</v>
      </c>
      <c r="E4419" t="s">
        <v>15</v>
      </c>
      <c r="F4419" t="s">
        <v>28</v>
      </c>
      <c r="G4419" t="s">
        <v>58</v>
      </c>
      <c r="H4419" t="s">
        <v>34</v>
      </c>
    </row>
    <row r="4420" spans="1:8" x14ac:dyDescent="0.2">
      <c r="A4420" t="s">
        <v>394</v>
      </c>
      <c r="B4420">
        <v>1</v>
      </c>
      <c r="C4420" t="s">
        <v>26</v>
      </c>
      <c r="D4420" t="s">
        <v>10</v>
      </c>
      <c r="E4420" t="s">
        <v>15</v>
      </c>
      <c r="F4420" t="s">
        <v>24</v>
      </c>
      <c r="G4420" t="s">
        <v>71</v>
      </c>
      <c r="H4420" t="s">
        <v>25</v>
      </c>
    </row>
    <row r="4422" spans="1:8" ht="16" x14ac:dyDescent="0.2">
      <c r="A4422" s="1" t="s">
        <v>4</v>
      </c>
      <c r="B4422" s="1" t="s">
        <v>338</v>
      </c>
    </row>
    <row r="4423" spans="1:8" x14ac:dyDescent="0.2">
      <c r="A4423" t="s">
        <v>5</v>
      </c>
      <c r="B4423" t="s">
        <v>26</v>
      </c>
    </row>
    <row r="4424" spans="1:8" x14ac:dyDescent="0.2">
      <c r="A4424" t="s">
        <v>6</v>
      </c>
      <c r="B4424">
        <v>1</v>
      </c>
    </row>
    <row r="4425" spans="1:8" x14ac:dyDescent="0.2">
      <c r="A4425" t="s">
        <v>7</v>
      </c>
      <c r="B4425" t="s">
        <v>73</v>
      </c>
    </row>
    <row r="4426" spans="1:8" x14ac:dyDescent="0.2">
      <c r="A4426" t="s">
        <v>8</v>
      </c>
      <c r="B4426" t="s">
        <v>9</v>
      </c>
    </row>
    <row r="4427" spans="1:8" x14ac:dyDescent="0.2">
      <c r="A4427" t="s">
        <v>10</v>
      </c>
      <c r="B4427" t="s">
        <v>10</v>
      </c>
    </row>
    <row r="4428" spans="1:8" x14ac:dyDescent="0.2">
      <c r="A4428" t="s">
        <v>11</v>
      </c>
      <c r="B4428" t="s">
        <v>12</v>
      </c>
    </row>
    <row r="4429" spans="1:8" x14ac:dyDescent="0.2">
      <c r="A4429" t="s">
        <v>13</v>
      </c>
      <c r="B4429" t="s">
        <v>291</v>
      </c>
    </row>
    <row r="4430" spans="1:8" x14ac:dyDescent="0.2">
      <c r="A4430" t="s">
        <v>14</v>
      </c>
      <c r="B4430" t="s">
        <v>271</v>
      </c>
    </row>
    <row r="4431" spans="1:8" x14ac:dyDescent="0.2">
      <c r="A4431" t="s">
        <v>16</v>
      </c>
      <c r="B4431" t="s">
        <v>15</v>
      </c>
    </row>
    <row r="4432" spans="1:8" x14ac:dyDescent="0.2">
      <c r="A4432" t="s">
        <v>17</v>
      </c>
      <c r="B4432" t="s">
        <v>239</v>
      </c>
    </row>
    <row r="4433" spans="1:8" ht="16" x14ac:dyDescent="0.2">
      <c r="A4433" s="1" t="s">
        <v>18</v>
      </c>
    </row>
    <row r="4434" spans="1:8" x14ac:dyDescent="0.2">
      <c r="A4434" t="s">
        <v>19</v>
      </c>
      <c r="B4434" t="s">
        <v>20</v>
      </c>
      <c r="C4434" t="s">
        <v>5</v>
      </c>
      <c r="D4434" t="s">
        <v>10</v>
      </c>
      <c r="E4434" t="s">
        <v>22</v>
      </c>
      <c r="F4434" t="s">
        <v>8</v>
      </c>
      <c r="G4434" t="s">
        <v>7</v>
      </c>
      <c r="H4434" t="s">
        <v>23</v>
      </c>
    </row>
    <row r="4435" spans="1:8" x14ac:dyDescent="0.2">
      <c r="A4435" t="s">
        <v>610</v>
      </c>
      <c r="B4435">
        <f>30.9</f>
        <v>30.9</v>
      </c>
      <c r="C4435" t="s">
        <v>33</v>
      </c>
      <c r="D4435" t="s">
        <v>39</v>
      </c>
      <c r="F4435" t="s">
        <v>28</v>
      </c>
      <c r="G4435" t="s">
        <v>611</v>
      </c>
      <c r="H4435" t="s">
        <v>34</v>
      </c>
    </row>
    <row r="4436" spans="1:8" x14ac:dyDescent="0.2">
      <c r="A4436" t="s">
        <v>61</v>
      </c>
      <c r="B4436">
        <v>110.3177618540455</v>
      </c>
      <c r="C4436" t="s">
        <v>33</v>
      </c>
      <c r="D4436" t="s">
        <v>27</v>
      </c>
      <c r="E4436" t="s">
        <v>15</v>
      </c>
      <c r="F4436" t="s">
        <v>28</v>
      </c>
      <c r="G4436" t="s">
        <v>61</v>
      </c>
      <c r="H4436" t="s">
        <v>62</v>
      </c>
    </row>
    <row r="4437" spans="1:8" x14ac:dyDescent="0.2">
      <c r="A4437" t="s">
        <v>283</v>
      </c>
      <c r="B4437">
        <v>5.9608695652173918</v>
      </c>
      <c r="C4437" t="s">
        <v>33</v>
      </c>
      <c r="D4437" t="s">
        <v>27</v>
      </c>
      <c r="E4437" t="s">
        <v>15</v>
      </c>
      <c r="F4437" t="s">
        <v>28</v>
      </c>
      <c r="G4437" t="s">
        <v>284</v>
      </c>
      <c r="H4437" t="s">
        <v>34</v>
      </c>
    </row>
    <row r="4438" spans="1:8" x14ac:dyDescent="0.2">
      <c r="A4438" t="s">
        <v>285</v>
      </c>
      <c r="B4438">
        <v>4.4706521739130434</v>
      </c>
      <c r="C4438" t="s">
        <v>33</v>
      </c>
      <c r="D4438" t="s">
        <v>27</v>
      </c>
      <c r="E4438" t="s">
        <v>15</v>
      </c>
      <c r="F4438" t="s">
        <v>28</v>
      </c>
      <c r="G4438" t="s">
        <v>286</v>
      </c>
      <c r="H4438" t="s">
        <v>34</v>
      </c>
    </row>
    <row r="4439" spans="1:8" x14ac:dyDescent="0.2">
      <c r="A4439" t="s">
        <v>278</v>
      </c>
      <c r="B4439">
        <v>35.562920426998701</v>
      </c>
      <c r="C4439" t="s">
        <v>33</v>
      </c>
      <c r="D4439" t="s">
        <v>27</v>
      </c>
      <c r="E4439" t="s">
        <v>15</v>
      </c>
      <c r="F4439" t="s">
        <v>28</v>
      </c>
      <c r="G4439" t="s">
        <v>279</v>
      </c>
      <c r="H4439" t="s">
        <v>275</v>
      </c>
    </row>
    <row r="4440" spans="1:8" x14ac:dyDescent="0.2">
      <c r="A4440" t="s">
        <v>272</v>
      </c>
      <c r="B4440">
        <v>1035.6361316910391</v>
      </c>
      <c r="C4440" t="s">
        <v>33</v>
      </c>
      <c r="D4440" t="s">
        <v>27</v>
      </c>
      <c r="E4440" t="s">
        <v>15</v>
      </c>
      <c r="F4440" t="s">
        <v>28</v>
      </c>
      <c r="G4440" t="s">
        <v>273</v>
      </c>
      <c r="H4440" t="s">
        <v>62</v>
      </c>
    </row>
    <row r="4441" spans="1:8" x14ac:dyDescent="0.2">
      <c r="A4441" t="s">
        <v>274</v>
      </c>
      <c r="B4441">
        <v>208.5514536506733</v>
      </c>
      <c r="C4441" t="s">
        <v>33</v>
      </c>
      <c r="D4441" t="s">
        <v>27</v>
      </c>
      <c r="E4441" t="s">
        <v>15</v>
      </c>
      <c r="F4441" t="s">
        <v>28</v>
      </c>
      <c r="G4441" t="s">
        <v>500</v>
      </c>
      <c r="H4441" t="s">
        <v>275</v>
      </c>
    </row>
    <row r="4442" spans="1:8" x14ac:dyDescent="0.2">
      <c r="A4442" t="s">
        <v>287</v>
      </c>
      <c r="B4442">
        <v>8.9413043478260867</v>
      </c>
      <c r="C4442" t="s">
        <v>33</v>
      </c>
      <c r="D4442" t="s">
        <v>27</v>
      </c>
      <c r="E4442" t="s">
        <v>15</v>
      </c>
      <c r="F4442" t="s">
        <v>28</v>
      </c>
      <c r="G4442" t="s">
        <v>288</v>
      </c>
      <c r="H4442" t="s">
        <v>34</v>
      </c>
    </row>
    <row r="4443" spans="1:8" x14ac:dyDescent="0.2">
      <c r="A4443" t="s">
        <v>289</v>
      </c>
      <c r="B4443">
        <v>3.973913043478261</v>
      </c>
      <c r="C4443" t="s">
        <v>33</v>
      </c>
      <c r="D4443" t="s">
        <v>27</v>
      </c>
      <c r="E4443" t="s">
        <v>15</v>
      </c>
      <c r="F4443" t="s">
        <v>28</v>
      </c>
      <c r="G4443" t="s">
        <v>290</v>
      </c>
      <c r="H4443" t="s">
        <v>34</v>
      </c>
    </row>
    <row r="4444" spans="1:8" x14ac:dyDescent="0.2">
      <c r="A4444" t="s">
        <v>280</v>
      </c>
      <c r="B4444">
        <v>-58.909659557433493</v>
      </c>
      <c r="C4444" t="s">
        <v>33</v>
      </c>
      <c r="D4444" t="s">
        <v>27</v>
      </c>
      <c r="E4444" t="s">
        <v>15</v>
      </c>
      <c r="F4444" t="s">
        <v>28</v>
      </c>
      <c r="G4444" t="s">
        <v>281</v>
      </c>
      <c r="H4444" t="s">
        <v>282</v>
      </c>
    </row>
    <row r="4445" spans="1:8" x14ac:dyDescent="0.2">
      <c r="A4445" t="s">
        <v>60</v>
      </c>
      <c r="B4445">
        <v>33.883333333333333</v>
      </c>
      <c r="C4445" t="s">
        <v>26</v>
      </c>
      <c r="D4445" t="s">
        <v>27</v>
      </c>
      <c r="E4445" t="s">
        <v>15</v>
      </c>
      <c r="F4445" t="s">
        <v>28</v>
      </c>
      <c r="G4445" t="s">
        <v>54</v>
      </c>
      <c r="H4445" t="s">
        <v>34</v>
      </c>
    </row>
    <row r="4446" spans="1:8" x14ac:dyDescent="0.2">
      <c r="A4446" t="s">
        <v>276</v>
      </c>
      <c r="B4446">
        <v>-959.20170317032705</v>
      </c>
      <c r="C4446" t="s">
        <v>33</v>
      </c>
      <c r="D4446" t="s">
        <v>27</v>
      </c>
      <c r="E4446" t="s">
        <v>15</v>
      </c>
      <c r="F4446" t="s">
        <v>28</v>
      </c>
      <c r="G4446" t="s">
        <v>277</v>
      </c>
      <c r="H4446" t="s">
        <v>25</v>
      </c>
    </row>
    <row r="4447" spans="1:8" x14ac:dyDescent="0.2">
      <c r="A4447" t="s">
        <v>501</v>
      </c>
      <c r="B4447">
        <v>-208.5514536506733</v>
      </c>
      <c r="C4447" t="s">
        <v>33</v>
      </c>
      <c r="D4447" t="s">
        <v>27</v>
      </c>
      <c r="E4447" t="s">
        <v>15</v>
      </c>
      <c r="F4447" t="s">
        <v>28</v>
      </c>
      <c r="G4447" t="s">
        <v>502</v>
      </c>
      <c r="H4447" t="s">
        <v>25</v>
      </c>
    </row>
    <row r="4448" spans="1:8" x14ac:dyDescent="0.2">
      <c r="A4448" t="s">
        <v>56</v>
      </c>
      <c r="B4448">
        <v>123.38520732132901</v>
      </c>
      <c r="C4448" t="s">
        <v>63</v>
      </c>
      <c r="D4448" t="s">
        <v>39</v>
      </c>
      <c r="E4448" t="s">
        <v>15</v>
      </c>
      <c r="F4448" t="s">
        <v>28</v>
      </c>
      <c r="G4448" t="s">
        <v>58</v>
      </c>
      <c r="H4448" t="s">
        <v>34</v>
      </c>
    </row>
    <row r="4449" spans="1:8" x14ac:dyDescent="0.2">
      <c r="A4449" t="s">
        <v>338</v>
      </c>
      <c r="B4449">
        <v>1</v>
      </c>
      <c r="C4449" t="s">
        <v>26</v>
      </c>
      <c r="D4449" t="s">
        <v>10</v>
      </c>
      <c r="E4449" t="s">
        <v>15</v>
      </c>
      <c r="F4449" t="s">
        <v>24</v>
      </c>
      <c r="G4449" t="s">
        <v>73</v>
      </c>
      <c r="H4449" t="s">
        <v>25</v>
      </c>
    </row>
    <row r="4452" spans="1:8" ht="16" x14ac:dyDescent="0.2">
      <c r="A4452" s="1" t="s">
        <v>4</v>
      </c>
      <c r="B4452" s="1" t="s">
        <v>482</v>
      </c>
    </row>
    <row r="4453" spans="1:8" x14ac:dyDescent="0.2">
      <c r="A4453" t="s">
        <v>5</v>
      </c>
      <c r="B4453" t="s">
        <v>26</v>
      </c>
    </row>
    <row r="4454" spans="1:8" x14ac:dyDescent="0.2">
      <c r="A4454" t="s">
        <v>6</v>
      </c>
      <c r="B4454">
        <v>1</v>
      </c>
    </row>
    <row r="4455" spans="1:8" x14ac:dyDescent="0.2">
      <c r="A4455" t="s">
        <v>7</v>
      </c>
      <c r="B4455" t="s">
        <v>88</v>
      </c>
    </row>
    <row r="4456" spans="1:8" x14ac:dyDescent="0.2">
      <c r="A4456" t="s">
        <v>8</v>
      </c>
      <c r="B4456" t="s">
        <v>9</v>
      </c>
    </row>
    <row r="4457" spans="1:8" x14ac:dyDescent="0.2">
      <c r="A4457" t="s">
        <v>10</v>
      </c>
      <c r="B4457" t="s">
        <v>10</v>
      </c>
    </row>
    <row r="4458" spans="1:8" x14ac:dyDescent="0.2">
      <c r="A4458" t="s">
        <v>11</v>
      </c>
      <c r="B4458" t="s">
        <v>12</v>
      </c>
    </row>
    <row r="4459" spans="1:8" x14ac:dyDescent="0.2">
      <c r="A4459" t="s">
        <v>13</v>
      </c>
      <c r="B4459" t="s">
        <v>291</v>
      </c>
    </row>
    <row r="4460" spans="1:8" x14ac:dyDescent="0.2">
      <c r="A4460" t="s">
        <v>14</v>
      </c>
      <c r="B4460" t="s">
        <v>271</v>
      </c>
    </row>
    <row r="4461" spans="1:8" x14ac:dyDescent="0.2">
      <c r="A4461" t="s">
        <v>16</v>
      </c>
      <c r="B4461" t="s">
        <v>15</v>
      </c>
    </row>
    <row r="4462" spans="1:8" x14ac:dyDescent="0.2">
      <c r="A4462" t="s">
        <v>17</v>
      </c>
      <c r="B4462" t="s">
        <v>240</v>
      </c>
    </row>
    <row r="4463" spans="1:8" ht="16" x14ac:dyDescent="0.2">
      <c r="A4463" s="1" t="s">
        <v>18</v>
      </c>
    </row>
    <row r="4464" spans="1:8" x14ac:dyDescent="0.2">
      <c r="A4464" t="s">
        <v>19</v>
      </c>
      <c r="B4464" t="s">
        <v>20</v>
      </c>
      <c r="C4464" t="s">
        <v>5</v>
      </c>
      <c r="D4464" t="s">
        <v>10</v>
      </c>
      <c r="E4464" t="s">
        <v>22</v>
      </c>
      <c r="F4464" t="s">
        <v>8</v>
      </c>
      <c r="G4464" t="s">
        <v>7</v>
      </c>
      <c r="H4464" t="s">
        <v>23</v>
      </c>
    </row>
    <row r="4465" spans="1:8" x14ac:dyDescent="0.2">
      <c r="A4465" t="s">
        <v>610</v>
      </c>
      <c r="B4465">
        <f>15.9</f>
        <v>15.9</v>
      </c>
      <c r="C4465" t="s">
        <v>33</v>
      </c>
      <c r="D4465" t="s">
        <v>39</v>
      </c>
      <c r="F4465" t="s">
        <v>28</v>
      </c>
      <c r="G4465" t="s">
        <v>611</v>
      </c>
      <c r="H4465" t="s">
        <v>34</v>
      </c>
    </row>
    <row r="4466" spans="1:8" x14ac:dyDescent="0.2">
      <c r="A4466" t="s">
        <v>484</v>
      </c>
      <c r="B4466">
        <v>82.173913043478251</v>
      </c>
      <c r="C4466" t="s">
        <v>26</v>
      </c>
      <c r="D4466" t="s">
        <v>27</v>
      </c>
      <c r="E4466" t="s">
        <v>15</v>
      </c>
      <c r="F4466" t="s">
        <v>28</v>
      </c>
      <c r="G4466" t="s">
        <v>485</v>
      </c>
      <c r="H4466" t="s">
        <v>34</v>
      </c>
    </row>
    <row r="4467" spans="1:8" x14ac:dyDescent="0.2">
      <c r="A4467" t="s">
        <v>61</v>
      </c>
      <c r="B4467">
        <v>101.1956521739131</v>
      </c>
      <c r="C4467" t="s">
        <v>33</v>
      </c>
      <c r="D4467" t="s">
        <v>27</v>
      </c>
      <c r="E4467" t="s">
        <v>15</v>
      </c>
      <c r="F4467" t="s">
        <v>28</v>
      </c>
      <c r="G4467" t="s">
        <v>61</v>
      </c>
      <c r="H4467" t="s">
        <v>62</v>
      </c>
    </row>
    <row r="4468" spans="1:8" ht="16" x14ac:dyDescent="0.2">
      <c r="A4468" s="2" t="s">
        <v>503</v>
      </c>
      <c r="B4468">
        <v>15.1</v>
      </c>
      <c r="C4468" t="s">
        <v>505</v>
      </c>
      <c r="D4468" t="s">
        <v>10</v>
      </c>
      <c r="E4468" t="s">
        <v>15</v>
      </c>
      <c r="F4468" t="s">
        <v>28</v>
      </c>
      <c r="G4468" t="s">
        <v>504</v>
      </c>
      <c r="H4468" t="s">
        <v>34</v>
      </c>
    </row>
    <row r="4469" spans="1:8" x14ac:dyDescent="0.2">
      <c r="A4469" t="s">
        <v>285</v>
      </c>
      <c r="B4469">
        <v>4.4706521739130434</v>
      </c>
      <c r="C4469" t="s">
        <v>33</v>
      </c>
      <c r="D4469" t="s">
        <v>27</v>
      </c>
      <c r="E4469" t="s">
        <v>15</v>
      </c>
      <c r="F4469" t="s">
        <v>28</v>
      </c>
      <c r="G4469" t="s">
        <v>286</v>
      </c>
      <c r="H4469" t="s">
        <v>34</v>
      </c>
    </row>
    <row r="4470" spans="1:8" x14ac:dyDescent="0.2">
      <c r="A4470" t="s">
        <v>278</v>
      </c>
      <c r="B4470">
        <v>58.657606467649813</v>
      </c>
      <c r="C4470" t="s">
        <v>33</v>
      </c>
      <c r="D4470" t="s">
        <v>27</v>
      </c>
      <c r="E4470" t="s">
        <v>15</v>
      </c>
      <c r="F4470" t="s">
        <v>28</v>
      </c>
      <c r="G4470" t="s">
        <v>279</v>
      </c>
      <c r="H4470" t="s">
        <v>275</v>
      </c>
    </row>
    <row r="4471" spans="1:8" x14ac:dyDescent="0.2">
      <c r="A4471" t="s">
        <v>272</v>
      </c>
      <c r="B4471">
        <v>950</v>
      </c>
      <c r="C4471" t="s">
        <v>33</v>
      </c>
      <c r="D4471" t="s">
        <v>27</v>
      </c>
      <c r="E4471" t="s">
        <v>15</v>
      </c>
      <c r="F4471" t="s">
        <v>28</v>
      </c>
      <c r="G4471" t="s">
        <v>273</v>
      </c>
      <c r="H4471" t="s">
        <v>62</v>
      </c>
    </row>
    <row r="4472" spans="1:8" x14ac:dyDescent="0.2">
      <c r="A4472" t="s">
        <v>274</v>
      </c>
      <c r="B4472">
        <v>65.282914125676029</v>
      </c>
      <c r="C4472" t="s">
        <v>33</v>
      </c>
      <c r="D4472" t="s">
        <v>27</v>
      </c>
      <c r="E4472" t="s">
        <v>15</v>
      </c>
      <c r="F4472" t="s">
        <v>28</v>
      </c>
      <c r="G4472" t="s">
        <v>500</v>
      </c>
      <c r="H4472" t="s">
        <v>275</v>
      </c>
    </row>
    <row r="4473" spans="1:8" x14ac:dyDescent="0.2">
      <c r="A4473" t="s">
        <v>287</v>
      </c>
      <c r="B4473">
        <v>8.9413043478260867</v>
      </c>
      <c r="C4473" t="s">
        <v>33</v>
      </c>
      <c r="D4473" t="s">
        <v>27</v>
      </c>
      <c r="E4473" t="s">
        <v>15</v>
      </c>
      <c r="F4473" t="s">
        <v>28</v>
      </c>
      <c r="G4473" t="s">
        <v>288</v>
      </c>
      <c r="H4473" t="s">
        <v>34</v>
      </c>
    </row>
    <row r="4474" spans="1:8" x14ac:dyDescent="0.2">
      <c r="A4474" t="s">
        <v>289</v>
      </c>
      <c r="B4474">
        <v>3.973913043478261</v>
      </c>
      <c r="C4474" t="s">
        <v>33</v>
      </c>
      <c r="D4474" t="s">
        <v>27</v>
      </c>
      <c r="E4474" t="s">
        <v>15</v>
      </c>
      <c r="F4474" t="s">
        <v>28</v>
      </c>
      <c r="G4474" t="s">
        <v>290</v>
      </c>
      <c r="H4474" t="s">
        <v>34</v>
      </c>
    </row>
    <row r="4475" spans="1:8" x14ac:dyDescent="0.2">
      <c r="A4475" t="s">
        <v>280</v>
      </c>
      <c r="B4475">
        <v>-197.39474258039539</v>
      </c>
      <c r="C4475" t="s">
        <v>33</v>
      </c>
      <c r="D4475" t="s">
        <v>27</v>
      </c>
      <c r="E4475" t="s">
        <v>15</v>
      </c>
      <c r="F4475" t="s">
        <v>28</v>
      </c>
      <c r="G4475" t="s">
        <v>281</v>
      </c>
      <c r="H4475" t="s">
        <v>282</v>
      </c>
    </row>
    <row r="4476" spans="1:8" x14ac:dyDescent="0.2">
      <c r="A4476" t="s">
        <v>276</v>
      </c>
      <c r="B4476">
        <v>-930.97826086956513</v>
      </c>
      <c r="C4476" t="s">
        <v>33</v>
      </c>
      <c r="D4476" t="s">
        <v>27</v>
      </c>
      <c r="E4476" t="s">
        <v>15</v>
      </c>
      <c r="F4476" t="s">
        <v>28</v>
      </c>
      <c r="G4476" t="s">
        <v>277</v>
      </c>
      <c r="H4476" t="s">
        <v>25</v>
      </c>
    </row>
    <row r="4477" spans="1:8" x14ac:dyDescent="0.2">
      <c r="A4477" t="s">
        <v>501</v>
      </c>
      <c r="B4477">
        <v>-65.282914125676029</v>
      </c>
      <c r="C4477" t="s">
        <v>33</v>
      </c>
      <c r="D4477" t="s">
        <v>27</v>
      </c>
      <c r="E4477" t="s">
        <v>15</v>
      </c>
      <c r="F4477" t="s">
        <v>28</v>
      </c>
      <c r="G4477" t="s">
        <v>502</v>
      </c>
      <c r="H4477" t="s">
        <v>25</v>
      </c>
    </row>
    <row r="4478" spans="1:8" x14ac:dyDescent="0.2">
      <c r="A4478" t="s">
        <v>56</v>
      </c>
      <c r="B4478">
        <v>63.477272910660339</v>
      </c>
      <c r="C4478" t="s">
        <v>63</v>
      </c>
      <c r="D4478" t="s">
        <v>39</v>
      </c>
      <c r="E4478" t="s">
        <v>15</v>
      </c>
      <c r="F4478" t="s">
        <v>28</v>
      </c>
      <c r="G4478" t="s">
        <v>58</v>
      </c>
      <c r="H4478" t="s">
        <v>34</v>
      </c>
    </row>
    <row r="4479" spans="1:8" x14ac:dyDescent="0.2">
      <c r="A4479" t="s">
        <v>482</v>
      </c>
      <c r="B4479">
        <v>1</v>
      </c>
      <c r="C4479" t="s">
        <v>26</v>
      </c>
      <c r="D4479" t="s">
        <v>10</v>
      </c>
      <c r="E4479" t="s">
        <v>15</v>
      </c>
      <c r="F4479" t="s">
        <v>24</v>
      </c>
      <c r="G4479" t="s">
        <v>88</v>
      </c>
      <c r="H4479" t="s">
        <v>25</v>
      </c>
    </row>
    <row r="4482" spans="1:8" ht="16" x14ac:dyDescent="0.2">
      <c r="A4482" s="1" t="s">
        <v>4</v>
      </c>
      <c r="B4482" s="1" t="s">
        <v>495</v>
      </c>
    </row>
    <row r="4483" spans="1:8" x14ac:dyDescent="0.2">
      <c r="A4483" t="s">
        <v>5</v>
      </c>
      <c r="B4483" t="s">
        <v>26</v>
      </c>
    </row>
    <row r="4484" spans="1:8" x14ac:dyDescent="0.2">
      <c r="A4484" t="s">
        <v>6</v>
      </c>
      <c r="B4484">
        <v>1</v>
      </c>
    </row>
    <row r="4485" spans="1:8" x14ac:dyDescent="0.2">
      <c r="A4485" t="s">
        <v>7</v>
      </c>
      <c r="B4485" t="s">
        <v>88</v>
      </c>
    </row>
    <row r="4486" spans="1:8" x14ac:dyDescent="0.2">
      <c r="A4486" t="s">
        <v>8</v>
      </c>
      <c r="B4486" t="s">
        <v>9</v>
      </c>
    </row>
    <row r="4487" spans="1:8" x14ac:dyDescent="0.2">
      <c r="A4487" t="s">
        <v>10</v>
      </c>
      <c r="B4487" t="s">
        <v>10</v>
      </c>
    </row>
    <row r="4488" spans="1:8" x14ac:dyDescent="0.2">
      <c r="A4488" t="s">
        <v>11</v>
      </c>
      <c r="B4488" t="s">
        <v>12</v>
      </c>
    </row>
    <row r="4489" spans="1:8" x14ac:dyDescent="0.2">
      <c r="A4489" t="s">
        <v>13</v>
      </c>
      <c r="B4489" t="s">
        <v>291</v>
      </c>
    </row>
    <row r="4490" spans="1:8" x14ac:dyDescent="0.2">
      <c r="A4490" t="s">
        <v>14</v>
      </c>
      <c r="B4490" t="s">
        <v>271</v>
      </c>
    </row>
    <row r="4491" spans="1:8" x14ac:dyDescent="0.2">
      <c r="A4491" t="s">
        <v>16</v>
      </c>
      <c r="B4491" t="s">
        <v>15</v>
      </c>
    </row>
    <row r="4492" spans="1:8" x14ac:dyDescent="0.2">
      <c r="A4492" t="s">
        <v>17</v>
      </c>
      <c r="B4492" t="s">
        <v>241</v>
      </c>
    </row>
    <row r="4493" spans="1:8" ht="16" x14ac:dyDescent="0.2">
      <c r="A4493" s="1" t="s">
        <v>18</v>
      </c>
    </row>
    <row r="4494" spans="1:8" x14ac:dyDescent="0.2">
      <c r="A4494" t="s">
        <v>19</v>
      </c>
      <c r="B4494" t="s">
        <v>20</v>
      </c>
      <c r="C4494" t="s">
        <v>5</v>
      </c>
      <c r="D4494" t="s">
        <v>10</v>
      </c>
      <c r="E4494" t="s">
        <v>22</v>
      </c>
      <c r="F4494" t="s">
        <v>8</v>
      </c>
      <c r="G4494" t="s">
        <v>7</v>
      </c>
      <c r="H4494" t="s">
        <v>23</v>
      </c>
    </row>
    <row r="4495" spans="1:8" x14ac:dyDescent="0.2">
      <c r="A4495" t="s">
        <v>610</v>
      </c>
      <c r="B4495">
        <v>34</v>
      </c>
      <c r="C4495" t="s">
        <v>33</v>
      </c>
      <c r="D4495" t="s">
        <v>39</v>
      </c>
      <c r="F4495" t="s">
        <v>28</v>
      </c>
      <c r="G4495" t="s">
        <v>611</v>
      </c>
      <c r="H4495" t="s">
        <v>34</v>
      </c>
    </row>
    <row r="4496" spans="1:8" x14ac:dyDescent="0.2">
      <c r="A4496" t="s">
        <v>61</v>
      </c>
      <c r="B4496">
        <v>139.65</v>
      </c>
      <c r="C4496" t="s">
        <v>33</v>
      </c>
      <c r="D4496" t="s">
        <v>27</v>
      </c>
      <c r="E4496" t="s">
        <v>15</v>
      </c>
      <c r="F4496" t="s">
        <v>28</v>
      </c>
      <c r="G4496" t="s">
        <v>61</v>
      </c>
      <c r="H4496" t="s">
        <v>62</v>
      </c>
    </row>
    <row r="4497" spans="1:8" x14ac:dyDescent="0.2">
      <c r="A4497" t="s">
        <v>283</v>
      </c>
      <c r="B4497">
        <v>5.9608695652173918</v>
      </c>
      <c r="C4497" t="s">
        <v>33</v>
      </c>
      <c r="D4497" t="s">
        <v>27</v>
      </c>
      <c r="E4497" t="s">
        <v>15</v>
      </c>
      <c r="F4497" t="s">
        <v>28</v>
      </c>
      <c r="G4497" t="s">
        <v>284</v>
      </c>
      <c r="H4497" t="s">
        <v>34</v>
      </c>
    </row>
    <row r="4498" spans="1:8" x14ac:dyDescent="0.2">
      <c r="A4498" t="s">
        <v>285</v>
      </c>
      <c r="B4498">
        <v>4.4706521739130434</v>
      </c>
      <c r="C4498" t="s">
        <v>33</v>
      </c>
      <c r="D4498" t="s">
        <v>27</v>
      </c>
      <c r="E4498" t="s">
        <v>15</v>
      </c>
      <c r="F4498" t="s">
        <v>28</v>
      </c>
      <c r="G4498" t="s">
        <v>286</v>
      </c>
      <c r="H4498" t="s">
        <v>34</v>
      </c>
    </row>
    <row r="4499" spans="1:8" x14ac:dyDescent="0.2">
      <c r="A4499" t="s">
        <v>278</v>
      </c>
      <c r="B4499">
        <v>61.61117259942894</v>
      </c>
      <c r="C4499" t="s">
        <v>33</v>
      </c>
      <c r="D4499" t="s">
        <v>27</v>
      </c>
      <c r="E4499" t="s">
        <v>15</v>
      </c>
      <c r="F4499" t="s">
        <v>28</v>
      </c>
      <c r="G4499" t="s">
        <v>279</v>
      </c>
      <c r="H4499" t="s">
        <v>275</v>
      </c>
    </row>
    <row r="4500" spans="1:8" x14ac:dyDescent="0.2">
      <c r="A4500" t="s">
        <v>272</v>
      </c>
      <c r="B4500">
        <v>997.5</v>
      </c>
      <c r="C4500" t="s">
        <v>33</v>
      </c>
      <c r="D4500" t="s">
        <v>27</v>
      </c>
      <c r="E4500" t="s">
        <v>15</v>
      </c>
      <c r="F4500" t="s">
        <v>28</v>
      </c>
      <c r="G4500" t="s">
        <v>273</v>
      </c>
      <c r="H4500" t="s">
        <v>62</v>
      </c>
    </row>
    <row r="4501" spans="1:8" x14ac:dyDescent="0.2">
      <c r="A4501" t="s">
        <v>274</v>
      </c>
      <c r="B4501">
        <v>67.60724225546744</v>
      </c>
      <c r="C4501" t="s">
        <v>33</v>
      </c>
      <c r="D4501" t="s">
        <v>27</v>
      </c>
      <c r="E4501" t="s">
        <v>15</v>
      </c>
      <c r="F4501" t="s">
        <v>28</v>
      </c>
      <c r="G4501" t="s">
        <v>500</v>
      </c>
      <c r="H4501" t="s">
        <v>275</v>
      </c>
    </row>
    <row r="4502" spans="1:8" x14ac:dyDescent="0.2">
      <c r="A4502" t="s">
        <v>287</v>
      </c>
      <c r="B4502">
        <v>8.9413043478260867</v>
      </c>
      <c r="C4502" t="s">
        <v>33</v>
      </c>
      <c r="D4502" t="s">
        <v>27</v>
      </c>
      <c r="E4502" t="s">
        <v>15</v>
      </c>
      <c r="F4502" t="s">
        <v>28</v>
      </c>
      <c r="G4502" t="s">
        <v>288</v>
      </c>
      <c r="H4502" t="s">
        <v>34</v>
      </c>
    </row>
    <row r="4503" spans="1:8" x14ac:dyDescent="0.2">
      <c r="A4503" t="s">
        <v>289</v>
      </c>
      <c r="B4503">
        <v>3.973913043478261</v>
      </c>
      <c r="C4503" t="s">
        <v>33</v>
      </c>
      <c r="D4503" t="s">
        <v>27</v>
      </c>
      <c r="E4503" t="s">
        <v>15</v>
      </c>
      <c r="F4503" t="s">
        <v>28</v>
      </c>
      <c r="G4503" t="s">
        <v>290</v>
      </c>
      <c r="H4503" t="s">
        <v>34</v>
      </c>
    </row>
    <row r="4504" spans="1:8" x14ac:dyDescent="0.2">
      <c r="A4504" t="s">
        <v>280</v>
      </c>
      <c r="B4504">
        <v>-84.957911729863724</v>
      </c>
      <c r="C4504" t="s">
        <v>33</v>
      </c>
      <c r="D4504" t="s">
        <v>27</v>
      </c>
      <c r="E4504" t="s">
        <v>15</v>
      </c>
      <c r="F4504" t="s">
        <v>28</v>
      </c>
      <c r="G4504" t="s">
        <v>281</v>
      </c>
      <c r="H4504" t="s">
        <v>282</v>
      </c>
    </row>
    <row r="4505" spans="1:8" x14ac:dyDescent="0.2">
      <c r="A4505" t="s">
        <v>276</v>
      </c>
      <c r="B4505">
        <v>-857.85</v>
      </c>
      <c r="C4505" t="s">
        <v>33</v>
      </c>
      <c r="D4505" t="s">
        <v>27</v>
      </c>
      <c r="E4505" t="s">
        <v>15</v>
      </c>
      <c r="F4505" t="s">
        <v>28</v>
      </c>
      <c r="G4505" t="s">
        <v>277</v>
      </c>
      <c r="H4505" t="s">
        <v>25</v>
      </c>
    </row>
    <row r="4506" spans="1:8" x14ac:dyDescent="0.2">
      <c r="A4506" t="s">
        <v>501</v>
      </c>
      <c r="B4506">
        <v>-67.60724225546744</v>
      </c>
      <c r="C4506" t="s">
        <v>33</v>
      </c>
      <c r="D4506" t="s">
        <v>27</v>
      </c>
      <c r="E4506" t="s">
        <v>15</v>
      </c>
      <c r="F4506" t="s">
        <v>28</v>
      </c>
      <c r="G4506" t="s">
        <v>502</v>
      </c>
      <c r="H4506" t="s">
        <v>25</v>
      </c>
    </row>
    <row r="4507" spans="1:8" x14ac:dyDescent="0.2">
      <c r="A4507" t="s">
        <v>56</v>
      </c>
      <c r="B4507">
        <v>696</v>
      </c>
      <c r="C4507" t="s">
        <v>63</v>
      </c>
      <c r="D4507" t="s">
        <v>39</v>
      </c>
      <c r="E4507" t="s">
        <v>15</v>
      </c>
      <c r="F4507" t="s">
        <v>28</v>
      </c>
      <c r="G4507" t="s">
        <v>58</v>
      </c>
      <c r="H4507" t="s">
        <v>34</v>
      </c>
    </row>
    <row r="4508" spans="1:8" x14ac:dyDescent="0.2">
      <c r="A4508" t="s">
        <v>495</v>
      </c>
      <c r="B4508">
        <v>1</v>
      </c>
      <c r="C4508" t="s">
        <v>26</v>
      </c>
      <c r="D4508" t="s">
        <v>10</v>
      </c>
      <c r="E4508" t="s">
        <v>15</v>
      </c>
      <c r="F4508" t="s">
        <v>24</v>
      </c>
      <c r="G4508" t="s">
        <v>88</v>
      </c>
      <c r="H4508" t="s">
        <v>25</v>
      </c>
    </row>
    <row r="4511" spans="1:8" ht="16" x14ac:dyDescent="0.2">
      <c r="A4511" s="1" t="s">
        <v>4</v>
      </c>
      <c r="B4511" s="1" t="s">
        <v>395</v>
      </c>
    </row>
    <row r="4512" spans="1:8" x14ac:dyDescent="0.2">
      <c r="A4512" t="s">
        <v>5</v>
      </c>
      <c r="B4512" t="s">
        <v>26</v>
      </c>
    </row>
    <row r="4513" spans="1:8" x14ac:dyDescent="0.2">
      <c r="A4513" t="s">
        <v>6</v>
      </c>
      <c r="B4513">
        <v>1</v>
      </c>
    </row>
    <row r="4514" spans="1:8" x14ac:dyDescent="0.2">
      <c r="A4514" t="s">
        <v>7</v>
      </c>
      <c r="B4514" t="s">
        <v>71</v>
      </c>
    </row>
    <row r="4515" spans="1:8" x14ac:dyDescent="0.2">
      <c r="A4515" t="s">
        <v>8</v>
      </c>
      <c r="B4515" t="s">
        <v>9</v>
      </c>
    </row>
    <row r="4516" spans="1:8" x14ac:dyDescent="0.2">
      <c r="A4516" t="s">
        <v>10</v>
      </c>
      <c r="B4516" t="s">
        <v>10</v>
      </c>
    </row>
    <row r="4517" spans="1:8" x14ac:dyDescent="0.2">
      <c r="A4517" t="s">
        <v>11</v>
      </c>
      <c r="B4517" t="s">
        <v>12</v>
      </c>
    </row>
    <row r="4518" spans="1:8" x14ac:dyDescent="0.2">
      <c r="A4518" t="s">
        <v>13</v>
      </c>
      <c r="B4518" t="s">
        <v>291</v>
      </c>
    </row>
    <row r="4519" spans="1:8" x14ac:dyDescent="0.2">
      <c r="A4519" t="s">
        <v>14</v>
      </c>
      <c r="B4519" t="s">
        <v>271</v>
      </c>
    </row>
    <row r="4520" spans="1:8" x14ac:dyDescent="0.2">
      <c r="A4520" t="s">
        <v>16</v>
      </c>
      <c r="B4520" t="s">
        <v>15</v>
      </c>
    </row>
    <row r="4521" spans="1:8" x14ac:dyDescent="0.2">
      <c r="A4521" t="s">
        <v>17</v>
      </c>
      <c r="B4521" t="s">
        <v>242</v>
      </c>
    </row>
    <row r="4522" spans="1:8" ht="16" x14ac:dyDescent="0.2">
      <c r="A4522" s="1" t="s">
        <v>18</v>
      </c>
    </row>
    <row r="4523" spans="1:8" x14ac:dyDescent="0.2">
      <c r="A4523" t="s">
        <v>19</v>
      </c>
      <c r="B4523" t="s">
        <v>20</v>
      </c>
      <c r="C4523" t="s">
        <v>5</v>
      </c>
      <c r="D4523" t="s">
        <v>10</v>
      </c>
      <c r="E4523" t="s">
        <v>22</v>
      </c>
      <c r="F4523" t="s">
        <v>8</v>
      </c>
      <c r="G4523" t="s">
        <v>7</v>
      </c>
      <c r="H4523" t="s">
        <v>23</v>
      </c>
    </row>
    <row r="4524" spans="1:8" x14ac:dyDescent="0.2">
      <c r="A4524" t="s">
        <v>610</v>
      </c>
      <c r="B4524">
        <f>9.4</f>
        <v>9.4</v>
      </c>
      <c r="C4524" t="s">
        <v>33</v>
      </c>
      <c r="D4524" t="s">
        <v>39</v>
      </c>
      <c r="F4524" t="s">
        <v>28</v>
      </c>
      <c r="G4524" t="s">
        <v>611</v>
      </c>
      <c r="H4524" t="s">
        <v>34</v>
      </c>
    </row>
    <row r="4525" spans="1:8" x14ac:dyDescent="0.2">
      <c r="A4525" t="s">
        <v>61</v>
      </c>
      <c r="B4525">
        <v>100.2921195652174</v>
      </c>
      <c r="C4525" t="s">
        <v>33</v>
      </c>
      <c r="D4525" t="s">
        <v>27</v>
      </c>
      <c r="E4525" t="s">
        <v>15</v>
      </c>
      <c r="F4525" t="s">
        <v>28</v>
      </c>
      <c r="G4525" t="s">
        <v>61</v>
      </c>
      <c r="H4525" t="s">
        <v>62</v>
      </c>
    </row>
    <row r="4526" spans="1:8" x14ac:dyDescent="0.2">
      <c r="A4526" t="s">
        <v>278</v>
      </c>
      <c r="B4526">
        <v>29.341821309360601</v>
      </c>
      <c r="C4526" t="s">
        <v>33</v>
      </c>
      <c r="D4526" t="s">
        <v>27</v>
      </c>
      <c r="E4526" t="s">
        <v>15</v>
      </c>
      <c r="F4526" t="s">
        <v>28</v>
      </c>
      <c r="G4526" t="s">
        <v>279</v>
      </c>
      <c r="H4526" t="s">
        <v>275</v>
      </c>
    </row>
    <row r="4527" spans="1:8" x14ac:dyDescent="0.2">
      <c r="A4527" t="s">
        <v>272</v>
      </c>
      <c r="B4527">
        <v>971.25</v>
      </c>
      <c r="C4527" t="s">
        <v>33</v>
      </c>
      <c r="D4527" t="s">
        <v>27</v>
      </c>
      <c r="E4527" t="s">
        <v>15</v>
      </c>
      <c r="F4527" t="s">
        <v>28</v>
      </c>
      <c r="G4527" t="s">
        <v>273</v>
      </c>
      <c r="H4527" t="s">
        <v>62</v>
      </c>
    </row>
    <row r="4528" spans="1:8" x14ac:dyDescent="0.2">
      <c r="A4528" t="s">
        <v>274</v>
      </c>
      <c r="B4528">
        <v>196.72438918749361</v>
      </c>
      <c r="C4528" t="s">
        <v>33</v>
      </c>
      <c r="D4528" t="s">
        <v>27</v>
      </c>
      <c r="E4528" t="s">
        <v>15</v>
      </c>
      <c r="F4528" t="s">
        <v>28</v>
      </c>
      <c r="G4528" t="s">
        <v>500</v>
      </c>
      <c r="H4528" t="s">
        <v>275</v>
      </c>
    </row>
    <row r="4529" spans="1:8" x14ac:dyDescent="0.2">
      <c r="A4529" t="s">
        <v>287</v>
      </c>
      <c r="B4529">
        <v>8.9706521739130434</v>
      </c>
      <c r="C4529" t="s">
        <v>33</v>
      </c>
      <c r="D4529" t="s">
        <v>27</v>
      </c>
      <c r="E4529" t="s">
        <v>15</v>
      </c>
      <c r="F4529" t="s">
        <v>28</v>
      </c>
      <c r="G4529" t="s">
        <v>288</v>
      </c>
      <c r="H4529" t="s">
        <v>34</v>
      </c>
    </row>
    <row r="4530" spans="1:8" x14ac:dyDescent="0.2">
      <c r="A4530" t="s">
        <v>289</v>
      </c>
      <c r="B4530">
        <v>3.9869565217391298</v>
      </c>
      <c r="C4530" t="s">
        <v>33</v>
      </c>
      <c r="D4530" t="s">
        <v>27</v>
      </c>
      <c r="E4530" t="s">
        <v>15</v>
      </c>
      <c r="F4530" t="s">
        <v>28</v>
      </c>
      <c r="G4530" t="s">
        <v>290</v>
      </c>
      <c r="H4530" t="s">
        <v>34</v>
      </c>
    </row>
    <row r="4531" spans="1:8" x14ac:dyDescent="0.2">
      <c r="A4531" t="s">
        <v>280</v>
      </c>
      <c r="B4531">
        <v>-42.29943000501278</v>
      </c>
      <c r="C4531" t="s">
        <v>33</v>
      </c>
      <c r="D4531" t="s">
        <v>27</v>
      </c>
      <c r="E4531" t="s">
        <v>15</v>
      </c>
      <c r="F4531" t="s">
        <v>28</v>
      </c>
      <c r="G4531" t="s">
        <v>281</v>
      </c>
      <c r="H4531" t="s">
        <v>282</v>
      </c>
    </row>
    <row r="4532" spans="1:8" x14ac:dyDescent="0.2">
      <c r="A4532" t="s">
        <v>60</v>
      </c>
      <c r="B4532">
        <v>28.708333333333329</v>
      </c>
      <c r="C4532" t="s">
        <v>26</v>
      </c>
      <c r="D4532" t="s">
        <v>27</v>
      </c>
      <c r="E4532" t="s">
        <v>15</v>
      </c>
      <c r="F4532" t="s">
        <v>28</v>
      </c>
      <c r="G4532" t="s">
        <v>54</v>
      </c>
      <c r="H4532" t="s">
        <v>34</v>
      </c>
    </row>
    <row r="4533" spans="1:8" x14ac:dyDescent="0.2">
      <c r="A4533" t="s">
        <v>276</v>
      </c>
      <c r="B4533">
        <v>-899.66621376811599</v>
      </c>
      <c r="C4533" t="s">
        <v>33</v>
      </c>
      <c r="D4533" t="s">
        <v>27</v>
      </c>
      <c r="E4533" t="s">
        <v>15</v>
      </c>
      <c r="F4533" t="s">
        <v>28</v>
      </c>
      <c r="G4533" t="s">
        <v>277</v>
      </c>
      <c r="H4533" t="s">
        <v>25</v>
      </c>
    </row>
    <row r="4534" spans="1:8" x14ac:dyDescent="0.2">
      <c r="A4534" t="s">
        <v>501</v>
      </c>
      <c r="B4534">
        <v>-196.72438918749361</v>
      </c>
      <c r="C4534" t="s">
        <v>33</v>
      </c>
      <c r="D4534" t="s">
        <v>27</v>
      </c>
      <c r="E4534" t="s">
        <v>15</v>
      </c>
      <c r="F4534" t="s">
        <v>28</v>
      </c>
      <c r="G4534" t="s">
        <v>502</v>
      </c>
      <c r="H4534" t="s">
        <v>25</v>
      </c>
    </row>
    <row r="4535" spans="1:8" x14ac:dyDescent="0.2">
      <c r="A4535" t="s">
        <v>56</v>
      </c>
      <c r="B4535">
        <v>56.175635397547957</v>
      </c>
      <c r="C4535" t="s">
        <v>63</v>
      </c>
      <c r="D4535" t="s">
        <v>39</v>
      </c>
      <c r="E4535" t="s">
        <v>15</v>
      </c>
      <c r="F4535" t="s">
        <v>28</v>
      </c>
      <c r="G4535" t="s">
        <v>58</v>
      </c>
      <c r="H4535" t="s">
        <v>34</v>
      </c>
    </row>
    <row r="4536" spans="1:8" x14ac:dyDescent="0.2">
      <c r="A4536" t="s">
        <v>395</v>
      </c>
      <c r="B4536">
        <v>1</v>
      </c>
      <c r="C4536" t="s">
        <v>26</v>
      </c>
      <c r="D4536" t="s">
        <v>10</v>
      </c>
      <c r="E4536" t="s">
        <v>15</v>
      </c>
      <c r="F4536" t="s">
        <v>24</v>
      </c>
      <c r="G4536" t="s">
        <v>71</v>
      </c>
      <c r="H4536" t="s">
        <v>25</v>
      </c>
    </row>
    <row r="4538" spans="1:8" ht="16" x14ac:dyDescent="0.2">
      <c r="A4538" s="1" t="s">
        <v>4</v>
      </c>
      <c r="B4538" s="1" t="s">
        <v>339</v>
      </c>
    </row>
    <row r="4539" spans="1:8" x14ac:dyDescent="0.2">
      <c r="A4539" t="s">
        <v>5</v>
      </c>
      <c r="B4539" t="s">
        <v>26</v>
      </c>
    </row>
    <row r="4540" spans="1:8" x14ac:dyDescent="0.2">
      <c r="A4540" t="s">
        <v>6</v>
      </c>
      <c r="B4540">
        <v>1</v>
      </c>
    </row>
    <row r="4541" spans="1:8" x14ac:dyDescent="0.2">
      <c r="A4541" t="s">
        <v>7</v>
      </c>
      <c r="B4541" t="s">
        <v>73</v>
      </c>
    </row>
    <row r="4542" spans="1:8" x14ac:dyDescent="0.2">
      <c r="A4542" t="s">
        <v>8</v>
      </c>
      <c r="B4542" t="s">
        <v>9</v>
      </c>
    </row>
    <row r="4543" spans="1:8" x14ac:dyDescent="0.2">
      <c r="A4543" t="s">
        <v>10</v>
      </c>
      <c r="B4543" t="s">
        <v>10</v>
      </c>
    </row>
    <row r="4544" spans="1:8" x14ac:dyDescent="0.2">
      <c r="A4544" t="s">
        <v>11</v>
      </c>
      <c r="B4544" t="s">
        <v>12</v>
      </c>
    </row>
    <row r="4545" spans="1:8" x14ac:dyDescent="0.2">
      <c r="A4545" t="s">
        <v>13</v>
      </c>
      <c r="B4545" t="s">
        <v>291</v>
      </c>
    </row>
    <row r="4546" spans="1:8" x14ac:dyDescent="0.2">
      <c r="A4546" t="s">
        <v>14</v>
      </c>
      <c r="B4546" t="s">
        <v>271</v>
      </c>
    </row>
    <row r="4547" spans="1:8" x14ac:dyDescent="0.2">
      <c r="A4547" t="s">
        <v>16</v>
      </c>
      <c r="B4547" t="s">
        <v>15</v>
      </c>
    </row>
    <row r="4548" spans="1:8" x14ac:dyDescent="0.2">
      <c r="A4548" t="s">
        <v>17</v>
      </c>
      <c r="B4548" t="s">
        <v>243</v>
      </c>
    </row>
    <row r="4549" spans="1:8" ht="16" x14ac:dyDescent="0.2">
      <c r="A4549" s="1" t="s">
        <v>18</v>
      </c>
    </row>
    <row r="4550" spans="1:8" x14ac:dyDescent="0.2">
      <c r="A4550" t="s">
        <v>19</v>
      </c>
      <c r="B4550" t="s">
        <v>20</v>
      </c>
      <c r="C4550" t="s">
        <v>5</v>
      </c>
      <c r="D4550" t="s">
        <v>10</v>
      </c>
      <c r="E4550" t="s">
        <v>22</v>
      </c>
      <c r="F4550" t="s">
        <v>8</v>
      </c>
      <c r="G4550" t="s">
        <v>7</v>
      </c>
      <c r="H4550" t="s">
        <v>23</v>
      </c>
    </row>
    <row r="4551" spans="1:8" x14ac:dyDescent="0.2">
      <c r="A4551" t="s">
        <v>610</v>
      </c>
      <c r="B4551">
        <f>9.2</f>
        <v>9.1999999999999993</v>
      </c>
      <c r="C4551" t="s">
        <v>33</v>
      </c>
      <c r="D4551" t="s">
        <v>39</v>
      </c>
      <c r="F4551" t="s">
        <v>28</v>
      </c>
      <c r="G4551" t="s">
        <v>611</v>
      </c>
      <c r="H4551" t="s">
        <v>34</v>
      </c>
    </row>
    <row r="4552" spans="1:8" x14ac:dyDescent="0.2">
      <c r="A4552" t="s">
        <v>61</v>
      </c>
      <c r="B4552">
        <v>106.2554347826087</v>
      </c>
      <c r="C4552" t="s">
        <v>33</v>
      </c>
      <c r="D4552" t="s">
        <v>27</v>
      </c>
      <c r="E4552" t="s">
        <v>15</v>
      </c>
      <c r="F4552" t="s">
        <v>28</v>
      </c>
      <c r="G4552" t="s">
        <v>61</v>
      </c>
      <c r="H4552" t="s">
        <v>62</v>
      </c>
    </row>
    <row r="4553" spans="1:8" x14ac:dyDescent="0.2">
      <c r="A4553" t="s">
        <v>278</v>
      </c>
      <c r="B4553">
        <v>29.134078194955158</v>
      </c>
      <c r="C4553" t="s">
        <v>33</v>
      </c>
      <c r="D4553" t="s">
        <v>27</v>
      </c>
      <c r="E4553" t="s">
        <v>15</v>
      </c>
      <c r="F4553" t="s">
        <v>28</v>
      </c>
      <c r="G4553" t="s">
        <v>279</v>
      </c>
      <c r="H4553" t="s">
        <v>275</v>
      </c>
    </row>
    <row r="4554" spans="1:8" x14ac:dyDescent="0.2">
      <c r="A4554" t="s">
        <v>272</v>
      </c>
      <c r="B4554">
        <v>997.5</v>
      </c>
      <c r="C4554" t="s">
        <v>33</v>
      </c>
      <c r="D4554" t="s">
        <v>27</v>
      </c>
      <c r="E4554" t="s">
        <v>15</v>
      </c>
      <c r="F4554" t="s">
        <v>28</v>
      </c>
      <c r="G4554" t="s">
        <v>273</v>
      </c>
      <c r="H4554" t="s">
        <v>62</v>
      </c>
    </row>
    <row r="4555" spans="1:8" x14ac:dyDescent="0.2">
      <c r="A4555" t="s">
        <v>274</v>
      </c>
      <c r="B4555">
        <v>196.3117190232754</v>
      </c>
      <c r="C4555" t="s">
        <v>33</v>
      </c>
      <c r="D4555" t="s">
        <v>27</v>
      </c>
      <c r="E4555" t="s">
        <v>15</v>
      </c>
      <c r="F4555" t="s">
        <v>28</v>
      </c>
      <c r="G4555" t="s">
        <v>500</v>
      </c>
      <c r="H4555" t="s">
        <v>275</v>
      </c>
    </row>
    <row r="4556" spans="1:8" x14ac:dyDescent="0.2">
      <c r="A4556" t="s">
        <v>287</v>
      </c>
      <c r="B4556">
        <v>8.9413043478260867</v>
      </c>
      <c r="C4556" t="s">
        <v>33</v>
      </c>
      <c r="D4556" t="s">
        <v>27</v>
      </c>
      <c r="E4556" t="s">
        <v>15</v>
      </c>
      <c r="F4556" t="s">
        <v>28</v>
      </c>
      <c r="G4556" t="s">
        <v>288</v>
      </c>
      <c r="H4556" t="s">
        <v>34</v>
      </c>
    </row>
    <row r="4557" spans="1:8" x14ac:dyDescent="0.2">
      <c r="A4557" t="s">
        <v>289</v>
      </c>
      <c r="B4557">
        <v>3.973913043478261</v>
      </c>
      <c r="C4557" t="s">
        <v>33</v>
      </c>
      <c r="D4557" t="s">
        <v>27</v>
      </c>
      <c r="E4557" t="s">
        <v>15</v>
      </c>
      <c r="F4557" t="s">
        <v>28</v>
      </c>
      <c r="G4557" t="s">
        <v>290</v>
      </c>
      <c r="H4557" t="s">
        <v>34</v>
      </c>
    </row>
    <row r="4558" spans="1:8" x14ac:dyDescent="0.2">
      <c r="A4558" t="s">
        <v>280</v>
      </c>
      <c r="B4558">
        <v>-42.049295586259497</v>
      </c>
      <c r="C4558" t="s">
        <v>33</v>
      </c>
      <c r="D4558" t="s">
        <v>27</v>
      </c>
      <c r="E4558" t="s">
        <v>15</v>
      </c>
      <c r="F4558" t="s">
        <v>28</v>
      </c>
      <c r="G4558" t="s">
        <v>281</v>
      </c>
      <c r="H4558" t="s">
        <v>282</v>
      </c>
    </row>
    <row r="4559" spans="1:8" x14ac:dyDescent="0.2">
      <c r="A4559" t="s">
        <v>60</v>
      </c>
      <c r="B4559">
        <v>26.5</v>
      </c>
      <c r="C4559" t="s">
        <v>26</v>
      </c>
      <c r="D4559" t="s">
        <v>27</v>
      </c>
      <c r="E4559" t="s">
        <v>15</v>
      </c>
      <c r="F4559" t="s">
        <v>28</v>
      </c>
      <c r="G4559" t="s">
        <v>54</v>
      </c>
      <c r="H4559" t="s">
        <v>34</v>
      </c>
    </row>
    <row r="4560" spans="1:8" x14ac:dyDescent="0.2">
      <c r="A4560" t="s">
        <v>276</v>
      </c>
      <c r="B4560">
        <v>-917.74456521739125</v>
      </c>
      <c r="C4560" t="s">
        <v>33</v>
      </c>
      <c r="D4560" t="s">
        <v>27</v>
      </c>
      <c r="E4560" t="s">
        <v>15</v>
      </c>
      <c r="F4560" t="s">
        <v>28</v>
      </c>
      <c r="G4560" t="s">
        <v>277</v>
      </c>
      <c r="H4560" t="s">
        <v>25</v>
      </c>
    </row>
    <row r="4561" spans="1:8" x14ac:dyDescent="0.2">
      <c r="A4561" t="s">
        <v>501</v>
      </c>
      <c r="B4561">
        <v>-196.3117190232754</v>
      </c>
      <c r="C4561" t="s">
        <v>33</v>
      </c>
      <c r="D4561" t="s">
        <v>27</v>
      </c>
      <c r="E4561" t="s">
        <v>15</v>
      </c>
      <c r="F4561" t="s">
        <v>28</v>
      </c>
      <c r="G4561" t="s">
        <v>502</v>
      </c>
      <c r="H4561" t="s">
        <v>25</v>
      </c>
    </row>
    <row r="4562" spans="1:8" x14ac:dyDescent="0.2">
      <c r="A4562" t="s">
        <v>56</v>
      </c>
      <c r="B4562">
        <v>36.748375262688768</v>
      </c>
      <c r="C4562" t="s">
        <v>63</v>
      </c>
      <c r="D4562" t="s">
        <v>39</v>
      </c>
      <c r="E4562" t="s">
        <v>15</v>
      </c>
      <c r="F4562" t="s">
        <v>28</v>
      </c>
      <c r="G4562" t="s">
        <v>58</v>
      </c>
      <c r="H4562" t="s">
        <v>34</v>
      </c>
    </row>
    <row r="4563" spans="1:8" x14ac:dyDescent="0.2">
      <c r="A4563" t="s">
        <v>339</v>
      </c>
      <c r="B4563">
        <v>1</v>
      </c>
      <c r="C4563" t="s">
        <v>26</v>
      </c>
      <c r="D4563" t="s">
        <v>10</v>
      </c>
      <c r="E4563" t="s">
        <v>15</v>
      </c>
      <c r="F4563" t="s">
        <v>24</v>
      </c>
      <c r="G4563" t="s">
        <v>73</v>
      </c>
      <c r="H4563" t="s">
        <v>25</v>
      </c>
    </row>
    <row r="4566" spans="1:8" ht="16" x14ac:dyDescent="0.2">
      <c r="A4566" s="1" t="s">
        <v>4</v>
      </c>
      <c r="B4566" s="1" t="s">
        <v>396</v>
      </c>
    </row>
    <row r="4567" spans="1:8" x14ac:dyDescent="0.2">
      <c r="A4567" t="s">
        <v>5</v>
      </c>
      <c r="B4567" t="s">
        <v>26</v>
      </c>
    </row>
    <row r="4568" spans="1:8" x14ac:dyDescent="0.2">
      <c r="A4568" t="s">
        <v>6</v>
      </c>
      <c r="B4568">
        <v>1</v>
      </c>
    </row>
    <row r="4569" spans="1:8" x14ac:dyDescent="0.2">
      <c r="A4569" t="s">
        <v>7</v>
      </c>
      <c r="B4569" t="s">
        <v>71</v>
      </c>
    </row>
    <row r="4570" spans="1:8" x14ac:dyDescent="0.2">
      <c r="A4570" t="s">
        <v>8</v>
      </c>
      <c r="B4570" t="s">
        <v>9</v>
      </c>
    </row>
    <row r="4571" spans="1:8" x14ac:dyDescent="0.2">
      <c r="A4571" t="s">
        <v>10</v>
      </c>
      <c r="B4571" t="s">
        <v>10</v>
      </c>
    </row>
    <row r="4572" spans="1:8" x14ac:dyDescent="0.2">
      <c r="A4572" t="s">
        <v>11</v>
      </c>
      <c r="B4572" t="s">
        <v>12</v>
      </c>
    </row>
    <row r="4573" spans="1:8" x14ac:dyDescent="0.2">
      <c r="A4573" t="s">
        <v>13</v>
      </c>
      <c r="B4573" t="s">
        <v>291</v>
      </c>
    </row>
    <row r="4574" spans="1:8" x14ac:dyDescent="0.2">
      <c r="A4574" t="s">
        <v>14</v>
      </c>
      <c r="B4574" t="s">
        <v>271</v>
      </c>
    </row>
    <row r="4575" spans="1:8" x14ac:dyDescent="0.2">
      <c r="A4575" t="s">
        <v>16</v>
      </c>
      <c r="B4575" t="s">
        <v>15</v>
      </c>
    </row>
    <row r="4576" spans="1:8" x14ac:dyDescent="0.2">
      <c r="A4576" t="s">
        <v>17</v>
      </c>
      <c r="B4576" t="s">
        <v>244</v>
      </c>
    </row>
    <row r="4577" spans="1:8" ht="16" x14ac:dyDescent="0.2">
      <c r="A4577" s="1" t="s">
        <v>18</v>
      </c>
    </row>
    <row r="4578" spans="1:8" x14ac:dyDescent="0.2">
      <c r="A4578" t="s">
        <v>19</v>
      </c>
      <c r="B4578" t="s">
        <v>20</v>
      </c>
      <c r="C4578" t="s">
        <v>5</v>
      </c>
      <c r="D4578" t="s">
        <v>10</v>
      </c>
      <c r="E4578" t="s">
        <v>22</v>
      </c>
      <c r="F4578" t="s">
        <v>8</v>
      </c>
      <c r="G4578" t="s">
        <v>7</v>
      </c>
      <c r="H4578" t="s">
        <v>23</v>
      </c>
    </row>
    <row r="4579" spans="1:8" x14ac:dyDescent="0.2">
      <c r="A4579" t="s">
        <v>610</v>
      </c>
      <c r="B4579">
        <f>9.51</f>
        <v>9.51</v>
      </c>
      <c r="C4579" t="s">
        <v>33</v>
      </c>
      <c r="D4579" t="s">
        <v>39</v>
      </c>
      <c r="F4579" t="s">
        <v>28</v>
      </c>
      <c r="G4579" t="s">
        <v>611</v>
      </c>
      <c r="H4579" t="s">
        <v>34</v>
      </c>
    </row>
    <row r="4580" spans="1:8" x14ac:dyDescent="0.2">
      <c r="A4580" t="s">
        <v>61</v>
      </c>
      <c r="B4580">
        <v>102.20244565217391</v>
      </c>
      <c r="C4580" t="s">
        <v>33</v>
      </c>
      <c r="D4580" t="s">
        <v>27</v>
      </c>
      <c r="E4580" t="s">
        <v>15</v>
      </c>
      <c r="F4580" t="s">
        <v>28</v>
      </c>
      <c r="G4580" t="s">
        <v>61</v>
      </c>
      <c r="H4580" t="s">
        <v>62</v>
      </c>
    </row>
    <row r="4581" spans="1:8" x14ac:dyDescent="0.2">
      <c r="A4581" t="s">
        <v>278</v>
      </c>
      <c r="B4581">
        <v>29.492919200549029</v>
      </c>
      <c r="C4581" t="s">
        <v>33</v>
      </c>
      <c r="D4581" t="s">
        <v>27</v>
      </c>
      <c r="E4581" t="s">
        <v>15</v>
      </c>
      <c r="F4581" t="s">
        <v>28</v>
      </c>
      <c r="G4581" t="s">
        <v>279</v>
      </c>
      <c r="H4581" t="s">
        <v>275</v>
      </c>
    </row>
    <row r="4582" spans="1:8" x14ac:dyDescent="0.2">
      <c r="A4582" t="s">
        <v>272</v>
      </c>
      <c r="B4582">
        <v>989.75</v>
      </c>
      <c r="C4582" t="s">
        <v>33</v>
      </c>
      <c r="D4582" t="s">
        <v>27</v>
      </c>
      <c r="E4582" t="s">
        <v>15</v>
      </c>
      <c r="F4582" t="s">
        <v>28</v>
      </c>
      <c r="G4582" t="s">
        <v>273</v>
      </c>
      <c r="H4582" t="s">
        <v>62</v>
      </c>
    </row>
    <row r="4583" spans="1:8" x14ac:dyDescent="0.2">
      <c r="A4583" t="s">
        <v>274</v>
      </c>
      <c r="B4583">
        <v>198.01693310450759</v>
      </c>
      <c r="C4583" t="s">
        <v>33</v>
      </c>
      <c r="D4583" t="s">
        <v>27</v>
      </c>
      <c r="E4583" t="s">
        <v>15</v>
      </c>
      <c r="F4583" t="s">
        <v>28</v>
      </c>
      <c r="G4583" t="s">
        <v>500</v>
      </c>
      <c r="H4583" t="s">
        <v>275</v>
      </c>
    </row>
    <row r="4584" spans="1:8" x14ac:dyDescent="0.2">
      <c r="A4584" t="s">
        <v>287</v>
      </c>
      <c r="B4584">
        <v>8.9706521739130434</v>
      </c>
      <c r="C4584" t="s">
        <v>33</v>
      </c>
      <c r="D4584" t="s">
        <v>27</v>
      </c>
      <c r="E4584" t="s">
        <v>15</v>
      </c>
      <c r="F4584" t="s">
        <v>28</v>
      </c>
      <c r="G4584" t="s">
        <v>288</v>
      </c>
      <c r="H4584" t="s">
        <v>34</v>
      </c>
    </row>
    <row r="4585" spans="1:8" x14ac:dyDescent="0.2">
      <c r="A4585" t="s">
        <v>289</v>
      </c>
      <c r="B4585">
        <v>3.9869565217391298</v>
      </c>
      <c r="C4585" t="s">
        <v>33</v>
      </c>
      <c r="D4585" t="s">
        <v>27</v>
      </c>
      <c r="E4585" t="s">
        <v>15</v>
      </c>
      <c r="F4585" t="s">
        <v>28</v>
      </c>
      <c r="G4585" t="s">
        <v>290</v>
      </c>
      <c r="H4585" t="s">
        <v>34</v>
      </c>
    </row>
    <row r="4586" spans="1:8" x14ac:dyDescent="0.2">
      <c r="A4586" t="s">
        <v>280</v>
      </c>
      <c r="B4586">
        <v>-42.450527896201208</v>
      </c>
      <c r="C4586" t="s">
        <v>33</v>
      </c>
      <c r="D4586" t="s">
        <v>27</v>
      </c>
      <c r="E4586" t="s">
        <v>15</v>
      </c>
      <c r="F4586" t="s">
        <v>28</v>
      </c>
      <c r="G4586" t="s">
        <v>281</v>
      </c>
      <c r="H4586" t="s">
        <v>282</v>
      </c>
    </row>
    <row r="4587" spans="1:8" x14ac:dyDescent="0.2">
      <c r="A4587" t="s">
        <v>60</v>
      </c>
      <c r="B4587">
        <v>28.979166666666661</v>
      </c>
      <c r="C4587" t="s">
        <v>26</v>
      </c>
      <c r="D4587" t="s">
        <v>27</v>
      </c>
      <c r="E4587" t="s">
        <v>15</v>
      </c>
      <c r="F4587" t="s">
        <v>28</v>
      </c>
      <c r="G4587" t="s">
        <v>54</v>
      </c>
      <c r="H4587" t="s">
        <v>34</v>
      </c>
    </row>
    <row r="4588" spans="1:8" x14ac:dyDescent="0.2">
      <c r="A4588" t="s">
        <v>276</v>
      </c>
      <c r="B4588">
        <v>-916.52672101449275</v>
      </c>
      <c r="C4588" t="s">
        <v>33</v>
      </c>
      <c r="D4588" t="s">
        <v>27</v>
      </c>
      <c r="E4588" t="s">
        <v>15</v>
      </c>
      <c r="F4588" t="s">
        <v>28</v>
      </c>
      <c r="G4588" t="s">
        <v>277</v>
      </c>
      <c r="H4588" t="s">
        <v>25</v>
      </c>
    </row>
    <row r="4589" spans="1:8" x14ac:dyDescent="0.2">
      <c r="A4589" t="s">
        <v>501</v>
      </c>
      <c r="B4589">
        <v>-198.01693310450759</v>
      </c>
      <c r="C4589" t="s">
        <v>33</v>
      </c>
      <c r="D4589" t="s">
        <v>27</v>
      </c>
      <c r="E4589" t="s">
        <v>15</v>
      </c>
      <c r="F4589" t="s">
        <v>28</v>
      </c>
      <c r="G4589" t="s">
        <v>502</v>
      </c>
      <c r="H4589" t="s">
        <v>25</v>
      </c>
    </row>
    <row r="4590" spans="1:8" x14ac:dyDescent="0.2">
      <c r="A4590" t="s">
        <v>56</v>
      </c>
      <c r="B4590">
        <v>57.053593670558612</v>
      </c>
      <c r="C4590" t="s">
        <v>63</v>
      </c>
      <c r="D4590" t="s">
        <v>39</v>
      </c>
      <c r="E4590" t="s">
        <v>15</v>
      </c>
      <c r="F4590" t="s">
        <v>28</v>
      </c>
      <c r="G4590" t="s">
        <v>58</v>
      </c>
      <c r="H4590" t="s">
        <v>34</v>
      </c>
    </row>
    <row r="4591" spans="1:8" x14ac:dyDescent="0.2">
      <c r="A4591" t="s">
        <v>396</v>
      </c>
      <c r="B4591">
        <v>1</v>
      </c>
      <c r="C4591" t="s">
        <v>26</v>
      </c>
      <c r="D4591" t="s">
        <v>10</v>
      </c>
      <c r="E4591" t="s">
        <v>15</v>
      </c>
      <c r="F4591" t="s">
        <v>24</v>
      </c>
      <c r="G4591" t="s">
        <v>71</v>
      </c>
      <c r="H4591" t="s">
        <v>25</v>
      </c>
    </row>
    <row r="4593" spans="1:8" ht="16" x14ac:dyDescent="0.2">
      <c r="A4593" s="1" t="s">
        <v>4</v>
      </c>
      <c r="B4593" s="1" t="s">
        <v>340</v>
      </c>
    </row>
    <row r="4594" spans="1:8" x14ac:dyDescent="0.2">
      <c r="A4594" t="s">
        <v>5</v>
      </c>
      <c r="B4594" t="s">
        <v>26</v>
      </c>
    </row>
    <row r="4595" spans="1:8" x14ac:dyDescent="0.2">
      <c r="A4595" t="s">
        <v>6</v>
      </c>
      <c r="B4595">
        <v>1</v>
      </c>
    </row>
    <row r="4596" spans="1:8" x14ac:dyDescent="0.2">
      <c r="A4596" t="s">
        <v>7</v>
      </c>
      <c r="B4596" t="s">
        <v>73</v>
      </c>
    </row>
    <row r="4597" spans="1:8" x14ac:dyDescent="0.2">
      <c r="A4597" t="s">
        <v>8</v>
      </c>
      <c r="B4597" t="s">
        <v>9</v>
      </c>
    </row>
    <row r="4598" spans="1:8" x14ac:dyDescent="0.2">
      <c r="A4598" t="s">
        <v>10</v>
      </c>
      <c r="B4598" t="s">
        <v>10</v>
      </c>
    </row>
    <row r="4599" spans="1:8" x14ac:dyDescent="0.2">
      <c r="A4599" t="s">
        <v>11</v>
      </c>
      <c r="B4599" t="s">
        <v>12</v>
      </c>
    </row>
    <row r="4600" spans="1:8" x14ac:dyDescent="0.2">
      <c r="A4600" t="s">
        <v>13</v>
      </c>
      <c r="B4600" t="s">
        <v>291</v>
      </c>
    </row>
    <row r="4601" spans="1:8" x14ac:dyDescent="0.2">
      <c r="A4601" t="s">
        <v>14</v>
      </c>
      <c r="B4601" t="s">
        <v>271</v>
      </c>
    </row>
    <row r="4602" spans="1:8" x14ac:dyDescent="0.2">
      <c r="A4602" t="s">
        <v>16</v>
      </c>
      <c r="B4602" t="s">
        <v>15</v>
      </c>
    </row>
    <row r="4603" spans="1:8" x14ac:dyDescent="0.2">
      <c r="A4603" t="s">
        <v>17</v>
      </c>
      <c r="B4603" t="s">
        <v>245</v>
      </c>
    </row>
    <row r="4604" spans="1:8" ht="16" x14ac:dyDescent="0.2">
      <c r="A4604" s="1" t="s">
        <v>18</v>
      </c>
    </row>
    <row r="4605" spans="1:8" x14ac:dyDescent="0.2">
      <c r="A4605" t="s">
        <v>19</v>
      </c>
      <c r="B4605" t="s">
        <v>20</v>
      </c>
      <c r="C4605" t="s">
        <v>5</v>
      </c>
      <c r="D4605" t="s">
        <v>10</v>
      </c>
      <c r="E4605" t="s">
        <v>22</v>
      </c>
      <c r="F4605" t="s">
        <v>8</v>
      </c>
      <c r="G4605" t="s">
        <v>7</v>
      </c>
      <c r="H4605" t="s">
        <v>23</v>
      </c>
    </row>
    <row r="4606" spans="1:8" x14ac:dyDescent="0.2">
      <c r="A4606" t="s">
        <v>610</v>
      </c>
      <c r="B4606">
        <f>9.33</f>
        <v>9.33</v>
      </c>
      <c r="C4606" t="s">
        <v>33</v>
      </c>
      <c r="D4606" t="s">
        <v>39</v>
      </c>
      <c r="F4606" t="s">
        <v>28</v>
      </c>
      <c r="G4606" t="s">
        <v>611</v>
      </c>
      <c r="H4606" t="s">
        <v>34</v>
      </c>
    </row>
    <row r="4607" spans="1:8" x14ac:dyDescent="0.2">
      <c r="A4607" t="s">
        <v>61</v>
      </c>
      <c r="B4607">
        <v>108.279347826087</v>
      </c>
      <c r="C4607" t="s">
        <v>33</v>
      </c>
      <c r="D4607" t="s">
        <v>27</v>
      </c>
      <c r="E4607" t="s">
        <v>15</v>
      </c>
      <c r="F4607" t="s">
        <v>28</v>
      </c>
      <c r="G4607" t="s">
        <v>61</v>
      </c>
      <c r="H4607" t="s">
        <v>62</v>
      </c>
    </row>
    <row r="4608" spans="1:8" x14ac:dyDescent="0.2">
      <c r="A4608" t="s">
        <v>278</v>
      </c>
      <c r="B4608">
        <v>29.288307304814438</v>
      </c>
      <c r="C4608" t="s">
        <v>33</v>
      </c>
      <c r="D4608" t="s">
        <v>27</v>
      </c>
      <c r="E4608" t="s">
        <v>15</v>
      </c>
      <c r="F4608" t="s">
        <v>28</v>
      </c>
      <c r="G4608" t="s">
        <v>279</v>
      </c>
      <c r="H4608" t="s">
        <v>275</v>
      </c>
    </row>
    <row r="4609" spans="1:8" x14ac:dyDescent="0.2">
      <c r="A4609" t="s">
        <v>272</v>
      </c>
      <c r="B4609">
        <v>1016.5</v>
      </c>
      <c r="C4609" t="s">
        <v>33</v>
      </c>
      <c r="D4609" t="s">
        <v>27</v>
      </c>
      <c r="E4609" t="s">
        <v>15</v>
      </c>
      <c r="F4609" t="s">
        <v>28</v>
      </c>
      <c r="G4609" t="s">
        <v>273</v>
      </c>
      <c r="H4609" t="s">
        <v>62</v>
      </c>
    </row>
    <row r="4610" spans="1:8" x14ac:dyDescent="0.2">
      <c r="A4610" t="s">
        <v>274</v>
      </c>
      <c r="B4610">
        <v>197.62400757977369</v>
      </c>
      <c r="C4610" t="s">
        <v>33</v>
      </c>
      <c r="D4610" t="s">
        <v>27</v>
      </c>
      <c r="E4610" t="s">
        <v>15</v>
      </c>
      <c r="F4610" t="s">
        <v>28</v>
      </c>
      <c r="G4610" t="s">
        <v>500</v>
      </c>
      <c r="H4610" t="s">
        <v>275</v>
      </c>
    </row>
    <row r="4611" spans="1:8" x14ac:dyDescent="0.2">
      <c r="A4611" t="s">
        <v>287</v>
      </c>
      <c r="B4611">
        <v>8.9413043478260867</v>
      </c>
      <c r="C4611" t="s">
        <v>33</v>
      </c>
      <c r="D4611" t="s">
        <v>27</v>
      </c>
      <c r="E4611" t="s">
        <v>15</v>
      </c>
      <c r="F4611" t="s">
        <v>28</v>
      </c>
      <c r="G4611" t="s">
        <v>288</v>
      </c>
      <c r="H4611" t="s">
        <v>34</v>
      </c>
    </row>
    <row r="4612" spans="1:8" x14ac:dyDescent="0.2">
      <c r="A4612" t="s">
        <v>289</v>
      </c>
      <c r="B4612">
        <v>3.973913043478261</v>
      </c>
      <c r="C4612" t="s">
        <v>33</v>
      </c>
      <c r="D4612" t="s">
        <v>27</v>
      </c>
      <c r="E4612" t="s">
        <v>15</v>
      </c>
      <c r="F4612" t="s">
        <v>28</v>
      </c>
      <c r="G4612" t="s">
        <v>290</v>
      </c>
      <c r="H4612" t="s">
        <v>34</v>
      </c>
    </row>
    <row r="4613" spans="1:8" x14ac:dyDescent="0.2">
      <c r="A4613" t="s">
        <v>280</v>
      </c>
      <c r="B4613">
        <v>-42.203524696118777</v>
      </c>
      <c r="C4613" t="s">
        <v>33</v>
      </c>
      <c r="D4613" t="s">
        <v>27</v>
      </c>
      <c r="E4613" t="s">
        <v>15</v>
      </c>
      <c r="F4613" t="s">
        <v>28</v>
      </c>
      <c r="G4613" t="s">
        <v>281</v>
      </c>
      <c r="H4613" t="s">
        <v>282</v>
      </c>
    </row>
    <row r="4614" spans="1:8" x14ac:dyDescent="0.2">
      <c r="A4614" t="s">
        <v>60</v>
      </c>
      <c r="B4614">
        <v>26.75</v>
      </c>
      <c r="C4614" t="s">
        <v>26</v>
      </c>
      <c r="D4614" t="s">
        <v>27</v>
      </c>
      <c r="E4614" t="s">
        <v>15</v>
      </c>
      <c r="F4614" t="s">
        <v>28</v>
      </c>
      <c r="G4614" t="s">
        <v>54</v>
      </c>
      <c r="H4614" t="s">
        <v>34</v>
      </c>
    </row>
    <row r="4615" spans="1:8" x14ac:dyDescent="0.2">
      <c r="A4615" t="s">
        <v>276</v>
      </c>
      <c r="B4615">
        <v>-934.97065217391298</v>
      </c>
      <c r="C4615" t="s">
        <v>33</v>
      </c>
      <c r="D4615" t="s">
        <v>27</v>
      </c>
      <c r="E4615" t="s">
        <v>15</v>
      </c>
      <c r="F4615" t="s">
        <v>28</v>
      </c>
      <c r="G4615" t="s">
        <v>277</v>
      </c>
      <c r="H4615" t="s">
        <v>25</v>
      </c>
    </row>
    <row r="4616" spans="1:8" x14ac:dyDescent="0.2">
      <c r="A4616" t="s">
        <v>501</v>
      </c>
      <c r="B4616">
        <v>-197.62400757977369</v>
      </c>
      <c r="C4616" t="s">
        <v>33</v>
      </c>
      <c r="D4616" t="s">
        <v>27</v>
      </c>
      <c r="E4616" t="s">
        <v>15</v>
      </c>
      <c r="F4616" t="s">
        <v>28</v>
      </c>
      <c r="G4616" t="s">
        <v>502</v>
      </c>
      <c r="H4616" t="s">
        <v>25</v>
      </c>
    </row>
    <row r="4617" spans="1:8" x14ac:dyDescent="0.2">
      <c r="A4617" t="s">
        <v>56</v>
      </c>
      <c r="B4617">
        <v>37.327521307874648</v>
      </c>
      <c r="C4617" t="s">
        <v>63</v>
      </c>
      <c r="D4617" t="s">
        <v>39</v>
      </c>
      <c r="E4617" t="s">
        <v>15</v>
      </c>
      <c r="F4617" t="s">
        <v>28</v>
      </c>
      <c r="G4617" t="s">
        <v>58</v>
      </c>
      <c r="H4617" t="s">
        <v>34</v>
      </c>
    </row>
    <row r="4618" spans="1:8" x14ac:dyDescent="0.2">
      <c r="A4618" t="s">
        <v>340</v>
      </c>
      <c r="B4618">
        <v>1</v>
      </c>
      <c r="C4618" t="s">
        <v>26</v>
      </c>
      <c r="D4618" t="s">
        <v>10</v>
      </c>
      <c r="E4618" t="s">
        <v>15</v>
      </c>
      <c r="F4618" t="s">
        <v>24</v>
      </c>
      <c r="G4618" t="s">
        <v>73</v>
      </c>
      <c r="H4618" t="s">
        <v>25</v>
      </c>
    </row>
    <row r="4621" spans="1:8" ht="16" x14ac:dyDescent="0.2">
      <c r="A4621" s="1" t="s">
        <v>4</v>
      </c>
      <c r="B4621" s="1" t="s">
        <v>473</v>
      </c>
    </row>
    <row r="4622" spans="1:8" x14ac:dyDescent="0.2">
      <c r="A4622" t="s">
        <v>5</v>
      </c>
      <c r="B4622" t="s">
        <v>26</v>
      </c>
    </row>
    <row r="4623" spans="1:8" x14ac:dyDescent="0.2">
      <c r="A4623" t="s">
        <v>6</v>
      </c>
      <c r="B4623">
        <v>1</v>
      </c>
    </row>
    <row r="4624" spans="1:8" x14ac:dyDescent="0.2">
      <c r="A4624" t="s">
        <v>7</v>
      </c>
      <c r="B4624" t="s">
        <v>65</v>
      </c>
    </row>
    <row r="4625" spans="1:8" x14ac:dyDescent="0.2">
      <c r="A4625" t="s">
        <v>8</v>
      </c>
      <c r="B4625" t="s">
        <v>9</v>
      </c>
    </row>
    <row r="4626" spans="1:8" x14ac:dyDescent="0.2">
      <c r="A4626" t="s">
        <v>10</v>
      </c>
      <c r="B4626" t="s">
        <v>10</v>
      </c>
    </row>
    <row r="4627" spans="1:8" x14ac:dyDescent="0.2">
      <c r="A4627" t="s">
        <v>11</v>
      </c>
      <c r="B4627" t="s">
        <v>12</v>
      </c>
    </row>
    <row r="4628" spans="1:8" x14ac:dyDescent="0.2">
      <c r="A4628" t="s">
        <v>13</v>
      </c>
      <c r="B4628" t="s">
        <v>291</v>
      </c>
    </row>
    <row r="4629" spans="1:8" x14ac:dyDescent="0.2">
      <c r="A4629" t="s">
        <v>14</v>
      </c>
      <c r="B4629" t="s">
        <v>271</v>
      </c>
    </row>
    <row r="4630" spans="1:8" x14ac:dyDescent="0.2">
      <c r="A4630" t="s">
        <v>16</v>
      </c>
      <c r="B4630" t="s">
        <v>15</v>
      </c>
    </row>
    <row r="4631" spans="1:8" x14ac:dyDescent="0.2">
      <c r="A4631" t="s">
        <v>17</v>
      </c>
      <c r="B4631" t="s">
        <v>246</v>
      </c>
    </row>
    <row r="4632" spans="1:8" ht="16" x14ac:dyDescent="0.2">
      <c r="A4632" s="1" t="s">
        <v>18</v>
      </c>
    </row>
    <row r="4633" spans="1:8" x14ac:dyDescent="0.2">
      <c r="A4633" t="s">
        <v>19</v>
      </c>
      <c r="B4633" t="s">
        <v>20</v>
      </c>
      <c r="C4633" t="s">
        <v>5</v>
      </c>
      <c r="D4633" t="s">
        <v>10</v>
      </c>
      <c r="E4633" t="s">
        <v>22</v>
      </c>
      <c r="F4633" t="s">
        <v>8</v>
      </c>
      <c r="G4633" t="s">
        <v>7</v>
      </c>
      <c r="H4633" t="s">
        <v>23</v>
      </c>
    </row>
    <row r="4634" spans="1:8" x14ac:dyDescent="0.2">
      <c r="A4634" t="s">
        <v>61</v>
      </c>
      <c r="B4634">
        <v>140</v>
      </c>
      <c r="C4634" t="s">
        <v>33</v>
      </c>
      <c r="D4634" t="s">
        <v>27</v>
      </c>
      <c r="E4634" t="s">
        <v>15</v>
      </c>
      <c r="F4634" t="s">
        <v>28</v>
      </c>
      <c r="G4634" t="s">
        <v>61</v>
      </c>
      <c r="H4634" t="s">
        <v>62</v>
      </c>
    </row>
    <row r="4635" spans="1:8" x14ac:dyDescent="0.2">
      <c r="A4635" t="s">
        <v>272</v>
      </c>
      <c r="B4635">
        <v>1400</v>
      </c>
      <c r="C4635" t="s">
        <v>33</v>
      </c>
      <c r="D4635" t="s">
        <v>27</v>
      </c>
      <c r="E4635" t="s">
        <v>15</v>
      </c>
      <c r="F4635" t="s">
        <v>28</v>
      </c>
      <c r="G4635" t="s">
        <v>273</v>
      </c>
      <c r="H4635" t="s">
        <v>62</v>
      </c>
    </row>
    <row r="4636" spans="1:8" x14ac:dyDescent="0.2">
      <c r="A4636" t="s">
        <v>274</v>
      </c>
      <c r="B4636">
        <v>246.59077590217589</v>
      </c>
      <c r="C4636" t="s">
        <v>33</v>
      </c>
      <c r="D4636" t="s">
        <v>27</v>
      </c>
      <c r="E4636" t="s">
        <v>15</v>
      </c>
      <c r="F4636" t="s">
        <v>28</v>
      </c>
      <c r="G4636" t="s">
        <v>500</v>
      </c>
      <c r="H4636" t="s">
        <v>275</v>
      </c>
    </row>
    <row r="4637" spans="1:8" x14ac:dyDescent="0.2">
      <c r="A4637" t="s">
        <v>60</v>
      </c>
      <c r="B4637">
        <v>52.999999999999993</v>
      </c>
      <c r="C4637" t="s">
        <v>26</v>
      </c>
      <c r="D4637" t="s">
        <v>27</v>
      </c>
      <c r="E4637" t="s">
        <v>15</v>
      </c>
      <c r="F4637" t="s">
        <v>28</v>
      </c>
      <c r="G4637" t="s">
        <v>54</v>
      </c>
      <c r="H4637" t="s">
        <v>34</v>
      </c>
    </row>
    <row r="4638" spans="1:8" x14ac:dyDescent="0.2">
      <c r="A4638" t="s">
        <v>276</v>
      </c>
      <c r="B4638">
        <v>-1313</v>
      </c>
      <c r="C4638" t="s">
        <v>33</v>
      </c>
      <c r="D4638" t="s">
        <v>27</v>
      </c>
      <c r="E4638" t="s">
        <v>15</v>
      </c>
      <c r="F4638" t="s">
        <v>28</v>
      </c>
      <c r="G4638" t="s">
        <v>277</v>
      </c>
      <c r="H4638" t="s">
        <v>25</v>
      </c>
    </row>
    <row r="4639" spans="1:8" x14ac:dyDescent="0.2">
      <c r="A4639" t="s">
        <v>501</v>
      </c>
      <c r="B4639">
        <v>-246.59077590217589</v>
      </c>
      <c r="C4639" t="s">
        <v>33</v>
      </c>
      <c r="D4639" t="s">
        <v>27</v>
      </c>
      <c r="E4639" t="s">
        <v>15</v>
      </c>
      <c r="F4639" t="s">
        <v>28</v>
      </c>
      <c r="G4639" t="s">
        <v>502</v>
      </c>
      <c r="H4639" t="s">
        <v>25</v>
      </c>
    </row>
    <row r="4640" spans="1:8" x14ac:dyDescent="0.2">
      <c r="A4640" t="s">
        <v>473</v>
      </c>
      <c r="B4640">
        <v>1</v>
      </c>
      <c r="C4640" t="s">
        <v>26</v>
      </c>
      <c r="D4640" t="s">
        <v>10</v>
      </c>
      <c r="E4640" t="s">
        <v>15</v>
      </c>
      <c r="F4640" t="s">
        <v>24</v>
      </c>
      <c r="G4640" t="s">
        <v>65</v>
      </c>
      <c r="H4640" t="s">
        <v>25</v>
      </c>
    </row>
    <row r="4642" spans="1:8" ht="16" x14ac:dyDescent="0.2">
      <c r="A4642" s="1" t="s">
        <v>4</v>
      </c>
      <c r="B4642" s="1" t="s">
        <v>449</v>
      </c>
    </row>
    <row r="4643" spans="1:8" x14ac:dyDescent="0.2">
      <c r="A4643" t="s">
        <v>5</v>
      </c>
      <c r="B4643" t="s">
        <v>26</v>
      </c>
    </row>
    <row r="4644" spans="1:8" x14ac:dyDescent="0.2">
      <c r="A4644" t="s">
        <v>6</v>
      </c>
      <c r="B4644">
        <v>1</v>
      </c>
    </row>
    <row r="4645" spans="1:8" x14ac:dyDescent="0.2">
      <c r="A4645" t="s">
        <v>7</v>
      </c>
      <c r="B4645" t="s">
        <v>67</v>
      </c>
    </row>
    <row r="4646" spans="1:8" x14ac:dyDescent="0.2">
      <c r="A4646" t="s">
        <v>8</v>
      </c>
      <c r="B4646" t="s">
        <v>9</v>
      </c>
    </row>
    <row r="4647" spans="1:8" x14ac:dyDescent="0.2">
      <c r="A4647" t="s">
        <v>10</v>
      </c>
      <c r="B4647" t="s">
        <v>10</v>
      </c>
    </row>
    <row r="4648" spans="1:8" x14ac:dyDescent="0.2">
      <c r="A4648" t="s">
        <v>11</v>
      </c>
      <c r="B4648" t="s">
        <v>12</v>
      </c>
    </row>
    <row r="4649" spans="1:8" x14ac:dyDescent="0.2">
      <c r="A4649" t="s">
        <v>13</v>
      </c>
      <c r="B4649" t="s">
        <v>291</v>
      </c>
    </row>
    <row r="4650" spans="1:8" x14ac:dyDescent="0.2">
      <c r="A4650" t="s">
        <v>14</v>
      </c>
      <c r="B4650" t="s">
        <v>271</v>
      </c>
    </row>
    <row r="4651" spans="1:8" x14ac:dyDescent="0.2">
      <c r="A4651" t="s">
        <v>16</v>
      </c>
      <c r="B4651" t="s">
        <v>15</v>
      </c>
    </row>
    <row r="4652" spans="1:8" x14ac:dyDescent="0.2">
      <c r="A4652" t="s">
        <v>17</v>
      </c>
      <c r="B4652" t="s">
        <v>247</v>
      </c>
    </row>
    <row r="4653" spans="1:8" ht="16" x14ac:dyDescent="0.2">
      <c r="A4653" s="1" t="s">
        <v>18</v>
      </c>
    </row>
    <row r="4654" spans="1:8" x14ac:dyDescent="0.2">
      <c r="A4654" t="s">
        <v>19</v>
      </c>
      <c r="B4654" t="s">
        <v>20</v>
      </c>
      <c r="C4654" t="s">
        <v>5</v>
      </c>
      <c r="D4654" t="s">
        <v>10</v>
      </c>
      <c r="E4654" t="s">
        <v>22</v>
      </c>
      <c r="F4654" t="s">
        <v>8</v>
      </c>
      <c r="G4654" t="s">
        <v>7</v>
      </c>
      <c r="H4654" t="s">
        <v>23</v>
      </c>
    </row>
    <row r="4655" spans="1:8" x14ac:dyDescent="0.2">
      <c r="A4655" t="s">
        <v>61</v>
      </c>
      <c r="B4655">
        <v>140</v>
      </c>
      <c r="C4655" t="s">
        <v>33</v>
      </c>
      <c r="D4655" t="s">
        <v>27</v>
      </c>
      <c r="E4655" t="s">
        <v>15</v>
      </c>
      <c r="F4655" t="s">
        <v>28</v>
      </c>
      <c r="G4655" t="s">
        <v>61</v>
      </c>
      <c r="H4655" t="s">
        <v>62</v>
      </c>
    </row>
    <row r="4656" spans="1:8" x14ac:dyDescent="0.2">
      <c r="A4656" t="s">
        <v>272</v>
      </c>
      <c r="B4656">
        <v>1400</v>
      </c>
      <c r="C4656" t="s">
        <v>33</v>
      </c>
      <c r="D4656" t="s">
        <v>27</v>
      </c>
      <c r="E4656" t="s">
        <v>15</v>
      </c>
      <c r="F4656" t="s">
        <v>28</v>
      </c>
      <c r="G4656" t="s">
        <v>273</v>
      </c>
      <c r="H4656" t="s">
        <v>62</v>
      </c>
    </row>
    <row r="4657" spans="1:8" x14ac:dyDescent="0.2">
      <c r="A4657" t="s">
        <v>274</v>
      </c>
      <c r="B4657">
        <v>245.75802805012071</v>
      </c>
      <c r="C4657" t="s">
        <v>33</v>
      </c>
      <c r="D4657" t="s">
        <v>27</v>
      </c>
      <c r="E4657" t="s">
        <v>15</v>
      </c>
      <c r="F4657" t="s">
        <v>28</v>
      </c>
      <c r="G4657" t="s">
        <v>500</v>
      </c>
      <c r="H4657" t="s">
        <v>275</v>
      </c>
    </row>
    <row r="4658" spans="1:8" x14ac:dyDescent="0.2">
      <c r="A4658" t="s">
        <v>60</v>
      </c>
      <c r="B4658">
        <v>48.583333333333329</v>
      </c>
      <c r="C4658" t="s">
        <v>26</v>
      </c>
      <c r="D4658" t="s">
        <v>27</v>
      </c>
      <c r="E4658" t="s">
        <v>15</v>
      </c>
      <c r="F4658" t="s">
        <v>28</v>
      </c>
      <c r="G4658" t="s">
        <v>54</v>
      </c>
      <c r="H4658" t="s">
        <v>34</v>
      </c>
    </row>
    <row r="4659" spans="1:8" x14ac:dyDescent="0.2">
      <c r="A4659" t="s">
        <v>276</v>
      </c>
      <c r="B4659">
        <v>-1308.583333333333</v>
      </c>
      <c r="C4659" t="s">
        <v>33</v>
      </c>
      <c r="D4659" t="s">
        <v>27</v>
      </c>
      <c r="E4659" t="s">
        <v>15</v>
      </c>
      <c r="F4659" t="s">
        <v>28</v>
      </c>
      <c r="G4659" t="s">
        <v>277</v>
      </c>
      <c r="H4659" t="s">
        <v>25</v>
      </c>
    </row>
    <row r="4660" spans="1:8" x14ac:dyDescent="0.2">
      <c r="A4660" t="s">
        <v>501</v>
      </c>
      <c r="B4660">
        <v>-245.75802805012071</v>
      </c>
      <c r="C4660" t="s">
        <v>33</v>
      </c>
      <c r="D4660" t="s">
        <v>27</v>
      </c>
      <c r="E4660" t="s">
        <v>15</v>
      </c>
      <c r="F4660" t="s">
        <v>28</v>
      </c>
      <c r="G4660" t="s">
        <v>502</v>
      </c>
      <c r="H4660" t="s">
        <v>25</v>
      </c>
    </row>
    <row r="4661" spans="1:8" x14ac:dyDescent="0.2">
      <c r="A4661" t="s">
        <v>449</v>
      </c>
      <c r="B4661">
        <v>1</v>
      </c>
      <c r="C4661" t="s">
        <v>26</v>
      </c>
      <c r="D4661" t="s">
        <v>10</v>
      </c>
      <c r="E4661" t="s">
        <v>15</v>
      </c>
      <c r="F4661" t="s">
        <v>24</v>
      </c>
      <c r="G4661" t="s">
        <v>67</v>
      </c>
      <c r="H4661" t="s">
        <v>25</v>
      </c>
    </row>
    <row r="4663" spans="1:8" ht="16" x14ac:dyDescent="0.2">
      <c r="A4663" s="1" t="s">
        <v>4</v>
      </c>
      <c r="B4663" s="1" t="s">
        <v>425</v>
      </c>
    </row>
    <row r="4664" spans="1:8" x14ac:dyDescent="0.2">
      <c r="A4664" t="s">
        <v>5</v>
      </c>
      <c r="B4664" t="s">
        <v>26</v>
      </c>
    </row>
    <row r="4665" spans="1:8" x14ac:dyDescent="0.2">
      <c r="A4665" t="s">
        <v>6</v>
      </c>
      <c r="B4665">
        <v>1</v>
      </c>
    </row>
    <row r="4666" spans="1:8" x14ac:dyDescent="0.2">
      <c r="A4666" t="s">
        <v>7</v>
      </c>
      <c r="B4666" t="s">
        <v>69</v>
      </c>
    </row>
    <row r="4667" spans="1:8" x14ac:dyDescent="0.2">
      <c r="A4667" t="s">
        <v>8</v>
      </c>
      <c r="B4667" t="s">
        <v>9</v>
      </c>
    </row>
    <row r="4668" spans="1:8" x14ac:dyDescent="0.2">
      <c r="A4668" t="s">
        <v>10</v>
      </c>
      <c r="B4668" t="s">
        <v>10</v>
      </c>
    </row>
    <row r="4669" spans="1:8" x14ac:dyDescent="0.2">
      <c r="A4669" t="s">
        <v>11</v>
      </c>
      <c r="B4669" t="s">
        <v>12</v>
      </c>
    </row>
    <row r="4670" spans="1:8" x14ac:dyDescent="0.2">
      <c r="A4670" t="s">
        <v>13</v>
      </c>
      <c r="B4670" t="s">
        <v>291</v>
      </c>
    </row>
    <row r="4671" spans="1:8" x14ac:dyDescent="0.2">
      <c r="A4671" t="s">
        <v>14</v>
      </c>
      <c r="B4671" t="s">
        <v>271</v>
      </c>
    </row>
    <row r="4672" spans="1:8" x14ac:dyDescent="0.2">
      <c r="A4672" t="s">
        <v>16</v>
      </c>
      <c r="B4672" t="s">
        <v>15</v>
      </c>
    </row>
    <row r="4673" spans="1:8" x14ac:dyDescent="0.2">
      <c r="A4673" t="s">
        <v>17</v>
      </c>
      <c r="B4673" t="s">
        <v>248</v>
      </c>
    </row>
    <row r="4674" spans="1:8" ht="16" x14ac:dyDescent="0.2">
      <c r="A4674" s="1" t="s">
        <v>18</v>
      </c>
    </row>
    <row r="4675" spans="1:8" x14ac:dyDescent="0.2">
      <c r="A4675" t="s">
        <v>19</v>
      </c>
      <c r="B4675" t="s">
        <v>20</v>
      </c>
      <c r="C4675" t="s">
        <v>5</v>
      </c>
      <c r="D4675" t="s">
        <v>10</v>
      </c>
      <c r="E4675" t="s">
        <v>22</v>
      </c>
      <c r="F4675" t="s">
        <v>8</v>
      </c>
      <c r="G4675" t="s">
        <v>7</v>
      </c>
      <c r="H4675" t="s">
        <v>23</v>
      </c>
    </row>
    <row r="4676" spans="1:8" x14ac:dyDescent="0.2">
      <c r="A4676" t="s">
        <v>61</v>
      </c>
      <c r="B4676">
        <v>140</v>
      </c>
      <c r="C4676" t="s">
        <v>33</v>
      </c>
      <c r="D4676" t="s">
        <v>27</v>
      </c>
      <c r="E4676" t="s">
        <v>15</v>
      </c>
      <c r="F4676" t="s">
        <v>28</v>
      </c>
      <c r="G4676" t="s">
        <v>61</v>
      </c>
      <c r="H4676" t="s">
        <v>62</v>
      </c>
    </row>
    <row r="4677" spans="1:8" x14ac:dyDescent="0.2">
      <c r="A4677" t="s">
        <v>272</v>
      </c>
      <c r="B4677">
        <v>1400</v>
      </c>
      <c r="C4677" t="s">
        <v>33</v>
      </c>
      <c r="D4677" t="s">
        <v>27</v>
      </c>
      <c r="E4677" t="s">
        <v>15</v>
      </c>
      <c r="F4677" t="s">
        <v>28</v>
      </c>
      <c r="G4677" t="s">
        <v>273</v>
      </c>
      <c r="H4677" t="s">
        <v>62</v>
      </c>
    </row>
    <row r="4678" spans="1:8" x14ac:dyDescent="0.2">
      <c r="A4678" t="s">
        <v>274</v>
      </c>
      <c r="B4678">
        <v>244.92528019806539</v>
      </c>
      <c r="C4678" t="s">
        <v>33</v>
      </c>
      <c r="D4678" t="s">
        <v>27</v>
      </c>
      <c r="E4678" t="s">
        <v>15</v>
      </c>
      <c r="F4678" t="s">
        <v>28</v>
      </c>
      <c r="G4678" t="s">
        <v>500</v>
      </c>
      <c r="H4678" t="s">
        <v>275</v>
      </c>
    </row>
    <row r="4679" spans="1:8" x14ac:dyDescent="0.2">
      <c r="A4679" t="s">
        <v>60</v>
      </c>
      <c r="B4679">
        <v>44.166666666666657</v>
      </c>
      <c r="C4679" t="s">
        <v>26</v>
      </c>
      <c r="D4679" t="s">
        <v>27</v>
      </c>
      <c r="E4679" t="s">
        <v>15</v>
      </c>
      <c r="F4679" t="s">
        <v>28</v>
      </c>
      <c r="G4679" t="s">
        <v>54</v>
      </c>
      <c r="H4679" t="s">
        <v>34</v>
      </c>
    </row>
    <row r="4680" spans="1:8" x14ac:dyDescent="0.2">
      <c r="A4680" t="s">
        <v>276</v>
      </c>
      <c r="B4680">
        <v>-1304.166666666667</v>
      </c>
      <c r="C4680" t="s">
        <v>33</v>
      </c>
      <c r="D4680" t="s">
        <v>27</v>
      </c>
      <c r="E4680" t="s">
        <v>15</v>
      </c>
      <c r="F4680" t="s">
        <v>28</v>
      </c>
      <c r="G4680" t="s">
        <v>277</v>
      </c>
      <c r="H4680" t="s">
        <v>25</v>
      </c>
    </row>
    <row r="4681" spans="1:8" x14ac:dyDescent="0.2">
      <c r="A4681" t="s">
        <v>501</v>
      </c>
      <c r="B4681">
        <v>-244.92528019806539</v>
      </c>
      <c r="C4681" t="s">
        <v>33</v>
      </c>
      <c r="D4681" t="s">
        <v>27</v>
      </c>
      <c r="E4681" t="s">
        <v>15</v>
      </c>
      <c r="F4681" t="s">
        <v>28</v>
      </c>
      <c r="G4681" t="s">
        <v>502</v>
      </c>
      <c r="H4681" t="s">
        <v>25</v>
      </c>
    </row>
    <row r="4682" spans="1:8" x14ac:dyDescent="0.2">
      <c r="A4682" t="s">
        <v>425</v>
      </c>
      <c r="B4682">
        <v>1</v>
      </c>
      <c r="C4682" t="s">
        <v>26</v>
      </c>
      <c r="D4682" t="s">
        <v>10</v>
      </c>
      <c r="E4682" t="s">
        <v>15</v>
      </c>
      <c r="F4682" t="s">
        <v>24</v>
      </c>
      <c r="G4682" t="s">
        <v>69</v>
      </c>
      <c r="H4682" t="s">
        <v>25</v>
      </c>
    </row>
    <row r="4684" spans="1:8" ht="16" x14ac:dyDescent="0.2">
      <c r="A4684" s="1" t="s">
        <v>4</v>
      </c>
      <c r="B4684" s="1" t="s">
        <v>397</v>
      </c>
    </row>
    <row r="4685" spans="1:8" x14ac:dyDescent="0.2">
      <c r="A4685" t="s">
        <v>5</v>
      </c>
      <c r="B4685" t="s">
        <v>26</v>
      </c>
    </row>
    <row r="4686" spans="1:8" x14ac:dyDescent="0.2">
      <c r="A4686" t="s">
        <v>6</v>
      </c>
      <c r="B4686">
        <v>1</v>
      </c>
    </row>
    <row r="4687" spans="1:8" x14ac:dyDescent="0.2">
      <c r="A4687" t="s">
        <v>7</v>
      </c>
      <c r="B4687" t="s">
        <v>71</v>
      </c>
    </row>
    <row r="4688" spans="1:8" x14ac:dyDescent="0.2">
      <c r="A4688" t="s">
        <v>8</v>
      </c>
      <c r="B4688" t="s">
        <v>9</v>
      </c>
    </row>
    <row r="4689" spans="1:8" x14ac:dyDescent="0.2">
      <c r="A4689" t="s">
        <v>10</v>
      </c>
      <c r="B4689" t="s">
        <v>10</v>
      </c>
    </row>
    <row r="4690" spans="1:8" x14ac:dyDescent="0.2">
      <c r="A4690" t="s">
        <v>11</v>
      </c>
      <c r="B4690" t="s">
        <v>12</v>
      </c>
    </row>
    <row r="4691" spans="1:8" x14ac:dyDescent="0.2">
      <c r="A4691" t="s">
        <v>13</v>
      </c>
      <c r="B4691" t="s">
        <v>291</v>
      </c>
    </row>
    <row r="4692" spans="1:8" x14ac:dyDescent="0.2">
      <c r="A4692" t="s">
        <v>14</v>
      </c>
      <c r="B4692" t="s">
        <v>271</v>
      </c>
    </row>
    <row r="4693" spans="1:8" x14ac:dyDescent="0.2">
      <c r="A4693" t="s">
        <v>16</v>
      </c>
      <c r="B4693" t="s">
        <v>15</v>
      </c>
    </row>
    <row r="4694" spans="1:8" x14ac:dyDescent="0.2">
      <c r="A4694" t="s">
        <v>17</v>
      </c>
      <c r="B4694" t="s">
        <v>249</v>
      </c>
    </row>
    <row r="4695" spans="1:8" ht="16" x14ac:dyDescent="0.2">
      <c r="A4695" s="1" t="s">
        <v>18</v>
      </c>
    </row>
    <row r="4696" spans="1:8" x14ac:dyDescent="0.2">
      <c r="A4696" t="s">
        <v>19</v>
      </c>
      <c r="B4696" t="s">
        <v>20</v>
      </c>
      <c r="C4696" t="s">
        <v>5</v>
      </c>
      <c r="D4696" t="s">
        <v>10</v>
      </c>
      <c r="E4696" t="s">
        <v>22</v>
      </c>
      <c r="F4696" t="s">
        <v>8</v>
      </c>
      <c r="G4696" t="s">
        <v>7</v>
      </c>
      <c r="H4696" t="s">
        <v>23</v>
      </c>
    </row>
    <row r="4697" spans="1:8" x14ac:dyDescent="0.2">
      <c r="A4697" t="s">
        <v>61</v>
      </c>
      <c r="B4697">
        <v>141.98369565217391</v>
      </c>
      <c r="C4697" t="s">
        <v>33</v>
      </c>
      <c r="D4697" t="s">
        <v>27</v>
      </c>
      <c r="E4697" t="s">
        <v>15</v>
      </c>
      <c r="F4697" t="s">
        <v>28</v>
      </c>
      <c r="G4697" t="s">
        <v>61</v>
      </c>
      <c r="H4697" t="s">
        <v>62</v>
      </c>
    </row>
    <row r="4698" spans="1:8" x14ac:dyDescent="0.2">
      <c r="A4698" t="s">
        <v>272</v>
      </c>
      <c r="B4698">
        <v>1375</v>
      </c>
      <c r="C4698" t="s">
        <v>33</v>
      </c>
      <c r="D4698" t="s">
        <v>27</v>
      </c>
      <c r="E4698" t="s">
        <v>15</v>
      </c>
      <c r="F4698" t="s">
        <v>28</v>
      </c>
      <c r="G4698" t="s">
        <v>273</v>
      </c>
      <c r="H4698" t="s">
        <v>62</v>
      </c>
    </row>
    <row r="4699" spans="1:8" x14ac:dyDescent="0.2">
      <c r="A4699" t="s">
        <v>274</v>
      </c>
      <c r="B4699">
        <v>241.1647966292758</v>
      </c>
      <c r="C4699" t="s">
        <v>33</v>
      </c>
      <c r="D4699" t="s">
        <v>27</v>
      </c>
      <c r="E4699" t="s">
        <v>15</v>
      </c>
      <c r="F4699" t="s">
        <v>28</v>
      </c>
      <c r="G4699" t="s">
        <v>500</v>
      </c>
      <c r="H4699" t="s">
        <v>275</v>
      </c>
    </row>
    <row r="4700" spans="1:8" x14ac:dyDescent="0.2">
      <c r="A4700" t="s">
        <v>60</v>
      </c>
      <c r="B4700">
        <v>46.375</v>
      </c>
      <c r="C4700" t="s">
        <v>26</v>
      </c>
      <c r="D4700" t="s">
        <v>27</v>
      </c>
      <c r="E4700" t="s">
        <v>15</v>
      </c>
      <c r="F4700" t="s">
        <v>28</v>
      </c>
      <c r="G4700" t="s">
        <v>54</v>
      </c>
      <c r="H4700" t="s">
        <v>34</v>
      </c>
    </row>
    <row r="4701" spans="1:8" x14ac:dyDescent="0.2">
      <c r="A4701" t="s">
        <v>276</v>
      </c>
      <c r="B4701">
        <v>-1279.391304347826</v>
      </c>
      <c r="C4701" t="s">
        <v>33</v>
      </c>
      <c r="D4701" t="s">
        <v>27</v>
      </c>
      <c r="E4701" t="s">
        <v>15</v>
      </c>
      <c r="F4701" t="s">
        <v>28</v>
      </c>
      <c r="G4701" t="s">
        <v>277</v>
      </c>
      <c r="H4701" t="s">
        <v>25</v>
      </c>
    </row>
    <row r="4702" spans="1:8" x14ac:dyDescent="0.2">
      <c r="A4702" t="s">
        <v>501</v>
      </c>
      <c r="B4702">
        <v>-241.1647966292758</v>
      </c>
      <c r="C4702" t="s">
        <v>33</v>
      </c>
      <c r="D4702" t="s">
        <v>27</v>
      </c>
      <c r="E4702" t="s">
        <v>15</v>
      </c>
      <c r="F4702" t="s">
        <v>28</v>
      </c>
      <c r="G4702" t="s">
        <v>502</v>
      </c>
      <c r="H4702" t="s">
        <v>25</v>
      </c>
    </row>
    <row r="4703" spans="1:8" x14ac:dyDescent="0.2">
      <c r="A4703" t="s">
        <v>397</v>
      </c>
      <c r="B4703">
        <v>1</v>
      </c>
      <c r="C4703" t="s">
        <v>26</v>
      </c>
      <c r="D4703" t="s">
        <v>10</v>
      </c>
      <c r="E4703" t="s">
        <v>15</v>
      </c>
      <c r="F4703" t="s">
        <v>24</v>
      </c>
      <c r="G4703" t="s">
        <v>71</v>
      </c>
      <c r="H4703" t="s">
        <v>25</v>
      </c>
    </row>
    <row r="4705" spans="1:8" ht="16" x14ac:dyDescent="0.2">
      <c r="A4705" s="1" t="s">
        <v>4</v>
      </c>
      <c r="B4705" s="1" t="s">
        <v>341</v>
      </c>
    </row>
    <row r="4706" spans="1:8" x14ac:dyDescent="0.2">
      <c r="A4706" t="s">
        <v>5</v>
      </c>
      <c r="B4706" t="s">
        <v>26</v>
      </c>
    </row>
    <row r="4707" spans="1:8" x14ac:dyDescent="0.2">
      <c r="A4707" t="s">
        <v>6</v>
      </c>
      <c r="B4707">
        <v>1</v>
      </c>
    </row>
    <row r="4708" spans="1:8" x14ac:dyDescent="0.2">
      <c r="A4708" t="s">
        <v>7</v>
      </c>
      <c r="B4708" t="s">
        <v>73</v>
      </c>
    </row>
    <row r="4709" spans="1:8" x14ac:dyDescent="0.2">
      <c r="A4709" t="s">
        <v>8</v>
      </c>
      <c r="B4709" t="s">
        <v>9</v>
      </c>
    </row>
    <row r="4710" spans="1:8" x14ac:dyDescent="0.2">
      <c r="A4710" t="s">
        <v>10</v>
      </c>
      <c r="B4710" t="s">
        <v>10</v>
      </c>
    </row>
    <row r="4711" spans="1:8" x14ac:dyDescent="0.2">
      <c r="A4711" t="s">
        <v>11</v>
      </c>
      <c r="B4711" t="s">
        <v>12</v>
      </c>
    </row>
    <row r="4712" spans="1:8" x14ac:dyDescent="0.2">
      <c r="A4712" t="s">
        <v>13</v>
      </c>
      <c r="B4712" t="s">
        <v>291</v>
      </c>
    </row>
    <row r="4713" spans="1:8" x14ac:dyDescent="0.2">
      <c r="A4713" t="s">
        <v>14</v>
      </c>
      <c r="B4713" t="s">
        <v>271</v>
      </c>
    </row>
    <row r="4714" spans="1:8" x14ac:dyDescent="0.2">
      <c r="A4714" t="s">
        <v>16</v>
      </c>
      <c r="B4714" t="s">
        <v>15</v>
      </c>
    </row>
    <row r="4715" spans="1:8" x14ac:dyDescent="0.2">
      <c r="A4715" t="s">
        <v>17</v>
      </c>
      <c r="B4715" t="s">
        <v>250</v>
      </c>
    </row>
    <row r="4716" spans="1:8" ht="16" x14ac:dyDescent="0.2">
      <c r="A4716" s="1" t="s">
        <v>18</v>
      </c>
    </row>
    <row r="4717" spans="1:8" x14ac:dyDescent="0.2">
      <c r="A4717" t="s">
        <v>19</v>
      </c>
      <c r="B4717" t="s">
        <v>20</v>
      </c>
      <c r="C4717" t="s">
        <v>5</v>
      </c>
      <c r="D4717" t="s">
        <v>10</v>
      </c>
      <c r="E4717" t="s">
        <v>22</v>
      </c>
      <c r="F4717" t="s">
        <v>8</v>
      </c>
      <c r="G4717" t="s">
        <v>7</v>
      </c>
      <c r="H4717" t="s">
        <v>23</v>
      </c>
    </row>
    <row r="4718" spans="1:8" x14ac:dyDescent="0.2">
      <c r="A4718" t="s">
        <v>61</v>
      </c>
      <c r="B4718">
        <v>143.804347826087</v>
      </c>
      <c r="C4718" t="s">
        <v>33</v>
      </c>
      <c r="D4718" t="s">
        <v>27</v>
      </c>
      <c r="E4718" t="s">
        <v>15</v>
      </c>
      <c r="F4718" t="s">
        <v>28</v>
      </c>
      <c r="G4718" t="s">
        <v>61</v>
      </c>
      <c r="H4718" t="s">
        <v>62</v>
      </c>
    </row>
    <row r="4719" spans="1:8" x14ac:dyDescent="0.2">
      <c r="A4719" t="s">
        <v>272</v>
      </c>
      <c r="B4719">
        <v>1350</v>
      </c>
      <c r="C4719" t="s">
        <v>33</v>
      </c>
      <c r="D4719" t="s">
        <v>27</v>
      </c>
      <c r="E4719" t="s">
        <v>15</v>
      </c>
      <c r="F4719" t="s">
        <v>28</v>
      </c>
      <c r="G4719" t="s">
        <v>273</v>
      </c>
      <c r="H4719" t="s">
        <v>62</v>
      </c>
    </row>
    <row r="4720" spans="1:8" x14ac:dyDescent="0.2">
      <c r="A4720" t="s">
        <v>274</v>
      </c>
      <c r="B4720">
        <v>237.4425711632127</v>
      </c>
      <c r="C4720" t="s">
        <v>33</v>
      </c>
      <c r="D4720" t="s">
        <v>27</v>
      </c>
      <c r="E4720" t="s">
        <v>15</v>
      </c>
      <c r="F4720" t="s">
        <v>28</v>
      </c>
      <c r="G4720" t="s">
        <v>500</v>
      </c>
      <c r="H4720" t="s">
        <v>275</v>
      </c>
    </row>
    <row r="4721" spans="1:8" x14ac:dyDescent="0.2">
      <c r="A4721" t="s">
        <v>60</v>
      </c>
      <c r="B4721">
        <v>48.583333333333329</v>
      </c>
      <c r="C4721" t="s">
        <v>26</v>
      </c>
      <c r="D4721" t="s">
        <v>27</v>
      </c>
      <c r="E4721" t="s">
        <v>15</v>
      </c>
      <c r="F4721" t="s">
        <v>28</v>
      </c>
      <c r="G4721" t="s">
        <v>54</v>
      </c>
      <c r="H4721" t="s">
        <v>34</v>
      </c>
    </row>
    <row r="4722" spans="1:8" x14ac:dyDescent="0.2">
      <c r="A4722" t="s">
        <v>276</v>
      </c>
      <c r="B4722">
        <v>-1254.778985507246</v>
      </c>
      <c r="C4722" t="s">
        <v>33</v>
      </c>
      <c r="D4722" t="s">
        <v>27</v>
      </c>
      <c r="E4722" t="s">
        <v>15</v>
      </c>
      <c r="F4722" t="s">
        <v>28</v>
      </c>
      <c r="G4722" t="s">
        <v>277</v>
      </c>
      <c r="H4722" t="s">
        <v>25</v>
      </c>
    </row>
    <row r="4723" spans="1:8" x14ac:dyDescent="0.2">
      <c r="A4723" t="s">
        <v>501</v>
      </c>
      <c r="B4723">
        <v>-237.4425711632127</v>
      </c>
      <c r="C4723" t="s">
        <v>33</v>
      </c>
      <c r="D4723" t="s">
        <v>27</v>
      </c>
      <c r="E4723" t="s">
        <v>15</v>
      </c>
      <c r="F4723" t="s">
        <v>28</v>
      </c>
      <c r="G4723" t="s">
        <v>502</v>
      </c>
      <c r="H4723" t="s">
        <v>25</v>
      </c>
    </row>
    <row r="4724" spans="1:8" x14ac:dyDescent="0.2">
      <c r="A4724" t="s">
        <v>341</v>
      </c>
      <c r="B4724">
        <v>1</v>
      </c>
      <c r="C4724" t="s">
        <v>26</v>
      </c>
      <c r="D4724" t="s">
        <v>10</v>
      </c>
      <c r="E4724" t="s">
        <v>15</v>
      </c>
      <c r="F4724" t="s">
        <v>24</v>
      </c>
      <c r="G4724" t="s">
        <v>73</v>
      </c>
      <c r="H4724" t="s">
        <v>25</v>
      </c>
    </row>
    <row r="4727" spans="1:8" ht="16" x14ac:dyDescent="0.2">
      <c r="A4727" s="1" t="s">
        <v>4</v>
      </c>
      <c r="B4727" s="1" t="s">
        <v>474</v>
      </c>
    </row>
    <row r="4728" spans="1:8" x14ac:dyDescent="0.2">
      <c r="A4728" t="s">
        <v>5</v>
      </c>
      <c r="B4728" t="s">
        <v>26</v>
      </c>
    </row>
    <row r="4729" spans="1:8" x14ac:dyDescent="0.2">
      <c r="A4729" t="s">
        <v>6</v>
      </c>
      <c r="B4729">
        <v>1</v>
      </c>
    </row>
    <row r="4730" spans="1:8" x14ac:dyDescent="0.2">
      <c r="A4730" t="s">
        <v>7</v>
      </c>
      <c r="B4730" t="s">
        <v>65</v>
      </c>
    </row>
    <row r="4731" spans="1:8" x14ac:dyDescent="0.2">
      <c r="A4731" t="s">
        <v>8</v>
      </c>
      <c r="B4731" t="s">
        <v>9</v>
      </c>
    </row>
    <row r="4732" spans="1:8" x14ac:dyDescent="0.2">
      <c r="A4732" t="s">
        <v>10</v>
      </c>
      <c r="B4732" t="s">
        <v>10</v>
      </c>
    </row>
    <row r="4733" spans="1:8" x14ac:dyDescent="0.2">
      <c r="A4733" t="s">
        <v>11</v>
      </c>
      <c r="B4733" t="s">
        <v>12</v>
      </c>
    </row>
    <row r="4734" spans="1:8" x14ac:dyDescent="0.2">
      <c r="A4734" t="s">
        <v>13</v>
      </c>
      <c r="B4734" t="s">
        <v>291</v>
      </c>
    </row>
    <row r="4735" spans="1:8" x14ac:dyDescent="0.2">
      <c r="A4735" t="s">
        <v>14</v>
      </c>
      <c r="B4735" t="s">
        <v>271</v>
      </c>
    </row>
    <row r="4736" spans="1:8" x14ac:dyDescent="0.2">
      <c r="A4736" t="s">
        <v>16</v>
      </c>
      <c r="B4736" t="s">
        <v>15</v>
      </c>
    </row>
    <row r="4737" spans="1:8" x14ac:dyDescent="0.2">
      <c r="A4737" t="s">
        <v>17</v>
      </c>
      <c r="B4737" t="s">
        <v>251</v>
      </c>
    </row>
    <row r="4738" spans="1:8" ht="16" x14ac:dyDescent="0.2">
      <c r="A4738" s="1" t="s">
        <v>18</v>
      </c>
    </row>
    <row r="4739" spans="1:8" x14ac:dyDescent="0.2">
      <c r="A4739" t="s">
        <v>19</v>
      </c>
      <c r="B4739" t="s">
        <v>20</v>
      </c>
      <c r="C4739" t="s">
        <v>5</v>
      </c>
      <c r="D4739" t="s">
        <v>10</v>
      </c>
      <c r="E4739" t="s">
        <v>22</v>
      </c>
      <c r="F4739" t="s">
        <v>8</v>
      </c>
      <c r="G4739" t="s">
        <v>7</v>
      </c>
      <c r="H4739" t="s">
        <v>23</v>
      </c>
    </row>
    <row r="4740" spans="1:8" x14ac:dyDescent="0.2">
      <c r="A4740" t="s">
        <v>61</v>
      </c>
      <c r="B4740">
        <v>135</v>
      </c>
      <c r="C4740" t="s">
        <v>33</v>
      </c>
      <c r="D4740" t="s">
        <v>27</v>
      </c>
      <c r="E4740" t="s">
        <v>15</v>
      </c>
      <c r="F4740" t="s">
        <v>28</v>
      </c>
      <c r="G4740" t="s">
        <v>61</v>
      </c>
      <c r="H4740" t="s">
        <v>62</v>
      </c>
    </row>
    <row r="4741" spans="1:8" x14ac:dyDescent="0.2">
      <c r="A4741" t="s">
        <v>272</v>
      </c>
      <c r="B4741">
        <v>1350</v>
      </c>
      <c r="C4741" t="s">
        <v>33</v>
      </c>
      <c r="D4741" t="s">
        <v>27</v>
      </c>
      <c r="E4741" t="s">
        <v>15</v>
      </c>
      <c r="F4741" t="s">
        <v>28</v>
      </c>
      <c r="G4741" t="s">
        <v>273</v>
      </c>
      <c r="H4741" t="s">
        <v>62</v>
      </c>
    </row>
    <row r="4742" spans="1:8" x14ac:dyDescent="0.2">
      <c r="A4742" t="s">
        <v>274</v>
      </c>
      <c r="B4742">
        <v>263.71539535484033</v>
      </c>
      <c r="C4742" t="s">
        <v>33</v>
      </c>
      <c r="D4742" t="s">
        <v>27</v>
      </c>
      <c r="E4742" t="s">
        <v>15</v>
      </c>
      <c r="F4742" t="s">
        <v>28</v>
      </c>
      <c r="G4742" t="s">
        <v>500</v>
      </c>
      <c r="H4742" t="s">
        <v>275</v>
      </c>
    </row>
    <row r="4743" spans="1:8" x14ac:dyDescent="0.2">
      <c r="A4743" t="s">
        <v>60</v>
      </c>
      <c r="B4743">
        <v>53.5</v>
      </c>
      <c r="C4743" t="s">
        <v>26</v>
      </c>
      <c r="D4743" t="s">
        <v>27</v>
      </c>
      <c r="E4743" t="s">
        <v>15</v>
      </c>
      <c r="F4743" t="s">
        <v>28</v>
      </c>
      <c r="G4743" t="s">
        <v>54</v>
      </c>
      <c r="H4743" t="s">
        <v>34</v>
      </c>
    </row>
    <row r="4744" spans="1:8" x14ac:dyDescent="0.2">
      <c r="A4744" t="s">
        <v>276</v>
      </c>
      <c r="B4744">
        <v>-1268.5</v>
      </c>
      <c r="C4744" t="s">
        <v>33</v>
      </c>
      <c r="D4744" t="s">
        <v>27</v>
      </c>
      <c r="E4744" t="s">
        <v>15</v>
      </c>
      <c r="F4744" t="s">
        <v>28</v>
      </c>
      <c r="G4744" t="s">
        <v>277</v>
      </c>
      <c r="H4744" t="s">
        <v>25</v>
      </c>
    </row>
    <row r="4745" spans="1:8" x14ac:dyDescent="0.2">
      <c r="A4745" t="s">
        <v>501</v>
      </c>
      <c r="B4745">
        <v>-263.71539535484033</v>
      </c>
      <c r="C4745" t="s">
        <v>33</v>
      </c>
      <c r="D4745" t="s">
        <v>27</v>
      </c>
      <c r="E4745" t="s">
        <v>15</v>
      </c>
      <c r="F4745" t="s">
        <v>28</v>
      </c>
      <c r="G4745" t="s">
        <v>502</v>
      </c>
      <c r="H4745" t="s">
        <v>25</v>
      </c>
    </row>
    <row r="4746" spans="1:8" x14ac:dyDescent="0.2">
      <c r="A4746" t="s">
        <v>474</v>
      </c>
      <c r="B4746">
        <v>1</v>
      </c>
      <c r="C4746" t="s">
        <v>26</v>
      </c>
      <c r="D4746" t="s">
        <v>10</v>
      </c>
      <c r="E4746" t="s">
        <v>15</v>
      </c>
      <c r="F4746" t="s">
        <v>24</v>
      </c>
      <c r="G4746" t="s">
        <v>65</v>
      </c>
      <c r="H4746" t="s">
        <v>25</v>
      </c>
    </row>
    <row r="4748" spans="1:8" ht="16" x14ac:dyDescent="0.2">
      <c r="A4748" s="1" t="s">
        <v>4</v>
      </c>
      <c r="B4748" s="1" t="s">
        <v>450</v>
      </c>
    </row>
    <row r="4749" spans="1:8" x14ac:dyDescent="0.2">
      <c r="A4749" t="s">
        <v>5</v>
      </c>
      <c r="B4749" t="s">
        <v>26</v>
      </c>
    </row>
    <row r="4750" spans="1:8" x14ac:dyDescent="0.2">
      <c r="A4750" t="s">
        <v>6</v>
      </c>
      <c r="B4750">
        <v>1</v>
      </c>
    </row>
    <row r="4751" spans="1:8" x14ac:dyDescent="0.2">
      <c r="A4751" t="s">
        <v>7</v>
      </c>
      <c r="B4751" t="s">
        <v>67</v>
      </c>
    </row>
    <row r="4752" spans="1:8" x14ac:dyDescent="0.2">
      <c r="A4752" t="s">
        <v>8</v>
      </c>
      <c r="B4752" t="s">
        <v>9</v>
      </c>
    </row>
    <row r="4753" spans="1:8" x14ac:dyDescent="0.2">
      <c r="A4753" t="s">
        <v>10</v>
      </c>
      <c r="B4753" t="s">
        <v>10</v>
      </c>
    </row>
    <row r="4754" spans="1:8" x14ac:dyDescent="0.2">
      <c r="A4754" t="s">
        <v>11</v>
      </c>
      <c r="B4754" t="s">
        <v>12</v>
      </c>
    </row>
    <row r="4755" spans="1:8" x14ac:dyDescent="0.2">
      <c r="A4755" t="s">
        <v>13</v>
      </c>
      <c r="B4755" t="s">
        <v>291</v>
      </c>
    </row>
    <row r="4756" spans="1:8" x14ac:dyDescent="0.2">
      <c r="A4756" t="s">
        <v>14</v>
      </c>
      <c r="B4756" t="s">
        <v>271</v>
      </c>
    </row>
    <row r="4757" spans="1:8" x14ac:dyDescent="0.2">
      <c r="A4757" t="s">
        <v>16</v>
      </c>
      <c r="B4757" t="s">
        <v>15</v>
      </c>
    </row>
    <row r="4758" spans="1:8" x14ac:dyDescent="0.2">
      <c r="A4758" t="s">
        <v>17</v>
      </c>
      <c r="B4758" t="s">
        <v>252</v>
      </c>
    </row>
    <row r="4759" spans="1:8" ht="16" x14ac:dyDescent="0.2">
      <c r="A4759" s="1" t="s">
        <v>18</v>
      </c>
    </row>
    <row r="4760" spans="1:8" x14ac:dyDescent="0.2">
      <c r="A4760" t="s">
        <v>19</v>
      </c>
      <c r="B4760" t="s">
        <v>20</v>
      </c>
      <c r="C4760" t="s">
        <v>5</v>
      </c>
      <c r="D4760" t="s">
        <v>10</v>
      </c>
      <c r="E4760" t="s">
        <v>22</v>
      </c>
      <c r="F4760" t="s">
        <v>8</v>
      </c>
      <c r="G4760" t="s">
        <v>7</v>
      </c>
      <c r="H4760" t="s">
        <v>23</v>
      </c>
    </row>
    <row r="4761" spans="1:8" x14ac:dyDescent="0.2">
      <c r="A4761" t="s">
        <v>61</v>
      </c>
      <c r="B4761">
        <v>135</v>
      </c>
      <c r="C4761" t="s">
        <v>33</v>
      </c>
      <c r="D4761" t="s">
        <v>27</v>
      </c>
      <c r="E4761" t="s">
        <v>15</v>
      </c>
      <c r="F4761" t="s">
        <v>28</v>
      </c>
      <c r="G4761" t="s">
        <v>61</v>
      </c>
      <c r="H4761" t="s">
        <v>62</v>
      </c>
    </row>
    <row r="4762" spans="1:8" x14ac:dyDescent="0.2">
      <c r="A4762" t="s">
        <v>272</v>
      </c>
      <c r="B4762">
        <v>1350</v>
      </c>
      <c r="C4762" t="s">
        <v>33</v>
      </c>
      <c r="D4762" t="s">
        <v>27</v>
      </c>
      <c r="E4762" t="s">
        <v>15</v>
      </c>
      <c r="F4762" t="s">
        <v>28</v>
      </c>
      <c r="G4762" t="s">
        <v>273</v>
      </c>
      <c r="H4762" t="s">
        <v>62</v>
      </c>
    </row>
    <row r="4763" spans="1:8" x14ac:dyDescent="0.2">
      <c r="A4763" t="s">
        <v>274</v>
      </c>
      <c r="B4763">
        <v>262.80561922818288</v>
      </c>
      <c r="C4763" t="s">
        <v>33</v>
      </c>
      <c r="D4763" t="s">
        <v>27</v>
      </c>
      <c r="E4763" t="s">
        <v>15</v>
      </c>
      <c r="F4763" t="s">
        <v>28</v>
      </c>
      <c r="G4763" t="s">
        <v>500</v>
      </c>
      <c r="H4763" t="s">
        <v>275</v>
      </c>
    </row>
    <row r="4764" spans="1:8" x14ac:dyDescent="0.2">
      <c r="A4764" t="s">
        <v>60</v>
      </c>
      <c r="B4764">
        <v>49.041666666666657</v>
      </c>
      <c r="C4764" t="s">
        <v>26</v>
      </c>
      <c r="D4764" t="s">
        <v>27</v>
      </c>
      <c r="E4764" t="s">
        <v>15</v>
      </c>
      <c r="F4764" t="s">
        <v>28</v>
      </c>
      <c r="G4764" t="s">
        <v>54</v>
      </c>
      <c r="H4764" t="s">
        <v>34</v>
      </c>
    </row>
    <row r="4765" spans="1:8" x14ac:dyDescent="0.2">
      <c r="A4765" t="s">
        <v>276</v>
      </c>
      <c r="B4765">
        <v>-1264.041666666667</v>
      </c>
      <c r="C4765" t="s">
        <v>33</v>
      </c>
      <c r="D4765" t="s">
        <v>27</v>
      </c>
      <c r="E4765" t="s">
        <v>15</v>
      </c>
      <c r="F4765" t="s">
        <v>28</v>
      </c>
      <c r="G4765" t="s">
        <v>277</v>
      </c>
      <c r="H4765" t="s">
        <v>25</v>
      </c>
    </row>
    <row r="4766" spans="1:8" x14ac:dyDescent="0.2">
      <c r="A4766" t="s">
        <v>501</v>
      </c>
      <c r="B4766">
        <v>-262.80561922818288</v>
      </c>
      <c r="C4766" t="s">
        <v>33</v>
      </c>
      <c r="D4766" t="s">
        <v>27</v>
      </c>
      <c r="E4766" t="s">
        <v>15</v>
      </c>
      <c r="F4766" t="s">
        <v>28</v>
      </c>
      <c r="G4766" t="s">
        <v>502</v>
      </c>
      <c r="H4766" t="s">
        <v>25</v>
      </c>
    </row>
    <row r="4767" spans="1:8" x14ac:dyDescent="0.2">
      <c r="A4767" t="s">
        <v>450</v>
      </c>
      <c r="B4767">
        <v>1</v>
      </c>
      <c r="C4767" t="s">
        <v>26</v>
      </c>
      <c r="D4767" t="s">
        <v>10</v>
      </c>
      <c r="E4767" t="s">
        <v>15</v>
      </c>
      <c r="F4767" t="s">
        <v>24</v>
      </c>
      <c r="G4767" t="s">
        <v>67</v>
      </c>
      <c r="H4767" t="s">
        <v>25</v>
      </c>
    </row>
    <row r="4769" spans="1:8" ht="16" x14ac:dyDescent="0.2">
      <c r="A4769" s="1" t="s">
        <v>4</v>
      </c>
      <c r="B4769" s="1" t="s">
        <v>426</v>
      </c>
    </row>
    <row r="4770" spans="1:8" x14ac:dyDescent="0.2">
      <c r="A4770" t="s">
        <v>5</v>
      </c>
      <c r="B4770" t="s">
        <v>26</v>
      </c>
    </row>
    <row r="4771" spans="1:8" x14ac:dyDescent="0.2">
      <c r="A4771" t="s">
        <v>6</v>
      </c>
      <c r="B4771">
        <v>1</v>
      </c>
    </row>
    <row r="4772" spans="1:8" x14ac:dyDescent="0.2">
      <c r="A4772" t="s">
        <v>7</v>
      </c>
      <c r="B4772" t="s">
        <v>69</v>
      </c>
    </row>
    <row r="4773" spans="1:8" x14ac:dyDescent="0.2">
      <c r="A4773" t="s">
        <v>8</v>
      </c>
      <c r="B4773" t="s">
        <v>9</v>
      </c>
    </row>
    <row r="4774" spans="1:8" x14ac:dyDescent="0.2">
      <c r="A4774" t="s">
        <v>10</v>
      </c>
      <c r="B4774" t="s">
        <v>10</v>
      </c>
    </row>
    <row r="4775" spans="1:8" x14ac:dyDescent="0.2">
      <c r="A4775" t="s">
        <v>11</v>
      </c>
      <c r="B4775" t="s">
        <v>12</v>
      </c>
    </row>
    <row r="4776" spans="1:8" x14ac:dyDescent="0.2">
      <c r="A4776" t="s">
        <v>13</v>
      </c>
      <c r="B4776" t="s">
        <v>291</v>
      </c>
    </row>
    <row r="4777" spans="1:8" x14ac:dyDescent="0.2">
      <c r="A4777" t="s">
        <v>14</v>
      </c>
      <c r="B4777" t="s">
        <v>271</v>
      </c>
    </row>
    <row r="4778" spans="1:8" x14ac:dyDescent="0.2">
      <c r="A4778" t="s">
        <v>16</v>
      </c>
      <c r="B4778" t="s">
        <v>15</v>
      </c>
    </row>
    <row r="4779" spans="1:8" x14ac:dyDescent="0.2">
      <c r="A4779" t="s">
        <v>17</v>
      </c>
      <c r="B4779" t="s">
        <v>253</v>
      </c>
    </row>
    <row r="4780" spans="1:8" ht="16" x14ac:dyDescent="0.2">
      <c r="A4780" s="1" t="s">
        <v>18</v>
      </c>
    </row>
    <row r="4781" spans="1:8" x14ac:dyDescent="0.2">
      <c r="A4781" t="s">
        <v>19</v>
      </c>
      <c r="B4781" t="s">
        <v>20</v>
      </c>
      <c r="C4781" t="s">
        <v>5</v>
      </c>
      <c r="D4781" t="s">
        <v>10</v>
      </c>
      <c r="E4781" t="s">
        <v>22</v>
      </c>
      <c r="F4781" t="s">
        <v>8</v>
      </c>
      <c r="G4781" t="s">
        <v>7</v>
      </c>
      <c r="H4781" t="s">
        <v>23</v>
      </c>
    </row>
    <row r="4782" spans="1:8" x14ac:dyDescent="0.2">
      <c r="A4782" t="s">
        <v>61</v>
      </c>
      <c r="B4782">
        <v>135</v>
      </c>
      <c r="C4782" t="s">
        <v>33</v>
      </c>
      <c r="D4782" t="s">
        <v>27</v>
      </c>
      <c r="E4782" t="s">
        <v>15</v>
      </c>
      <c r="F4782" t="s">
        <v>28</v>
      </c>
      <c r="G4782" t="s">
        <v>61</v>
      </c>
      <c r="H4782" t="s">
        <v>62</v>
      </c>
    </row>
    <row r="4783" spans="1:8" x14ac:dyDescent="0.2">
      <c r="A4783" t="s">
        <v>272</v>
      </c>
      <c r="B4783">
        <v>1350</v>
      </c>
      <c r="C4783" t="s">
        <v>33</v>
      </c>
      <c r="D4783" t="s">
        <v>27</v>
      </c>
      <c r="E4783" t="s">
        <v>15</v>
      </c>
      <c r="F4783" t="s">
        <v>28</v>
      </c>
      <c r="G4783" t="s">
        <v>273</v>
      </c>
      <c r="H4783" t="s">
        <v>62</v>
      </c>
    </row>
    <row r="4784" spans="1:8" x14ac:dyDescent="0.2">
      <c r="A4784" t="s">
        <v>274</v>
      </c>
      <c r="B4784">
        <v>261.89584310152549</v>
      </c>
      <c r="C4784" t="s">
        <v>33</v>
      </c>
      <c r="D4784" t="s">
        <v>27</v>
      </c>
      <c r="E4784" t="s">
        <v>15</v>
      </c>
      <c r="F4784" t="s">
        <v>28</v>
      </c>
      <c r="G4784" t="s">
        <v>500</v>
      </c>
      <c r="H4784" t="s">
        <v>275</v>
      </c>
    </row>
    <row r="4785" spans="1:8" x14ac:dyDescent="0.2">
      <c r="A4785" t="s">
        <v>60</v>
      </c>
      <c r="B4785">
        <v>44.583333333333343</v>
      </c>
      <c r="C4785" t="s">
        <v>26</v>
      </c>
      <c r="D4785" t="s">
        <v>27</v>
      </c>
      <c r="E4785" t="s">
        <v>15</v>
      </c>
      <c r="F4785" t="s">
        <v>28</v>
      </c>
      <c r="G4785" t="s">
        <v>54</v>
      </c>
      <c r="H4785" t="s">
        <v>34</v>
      </c>
    </row>
    <row r="4786" spans="1:8" x14ac:dyDescent="0.2">
      <c r="A4786" t="s">
        <v>276</v>
      </c>
      <c r="B4786">
        <v>-1259.583333333333</v>
      </c>
      <c r="C4786" t="s">
        <v>33</v>
      </c>
      <c r="D4786" t="s">
        <v>27</v>
      </c>
      <c r="E4786" t="s">
        <v>15</v>
      </c>
      <c r="F4786" t="s">
        <v>28</v>
      </c>
      <c r="G4786" t="s">
        <v>277</v>
      </c>
      <c r="H4786" t="s">
        <v>25</v>
      </c>
    </row>
    <row r="4787" spans="1:8" x14ac:dyDescent="0.2">
      <c r="A4787" t="s">
        <v>501</v>
      </c>
      <c r="B4787">
        <v>-261.89584310152549</v>
      </c>
      <c r="C4787" t="s">
        <v>33</v>
      </c>
      <c r="D4787" t="s">
        <v>27</v>
      </c>
      <c r="E4787" t="s">
        <v>15</v>
      </c>
      <c r="F4787" t="s">
        <v>28</v>
      </c>
      <c r="G4787" t="s">
        <v>502</v>
      </c>
      <c r="H4787" t="s">
        <v>25</v>
      </c>
    </row>
    <row r="4788" spans="1:8" x14ac:dyDescent="0.2">
      <c r="A4788" t="s">
        <v>426</v>
      </c>
      <c r="B4788">
        <v>1</v>
      </c>
      <c r="C4788" t="s">
        <v>26</v>
      </c>
      <c r="D4788" t="s">
        <v>10</v>
      </c>
      <c r="E4788" t="s">
        <v>15</v>
      </c>
      <c r="F4788" t="s">
        <v>24</v>
      </c>
      <c r="G4788" t="s">
        <v>69</v>
      </c>
      <c r="H4788" t="s">
        <v>25</v>
      </c>
    </row>
    <row r="4790" spans="1:8" ht="16" x14ac:dyDescent="0.2">
      <c r="A4790" s="1" t="s">
        <v>4</v>
      </c>
      <c r="B4790" s="1" t="s">
        <v>398</v>
      </c>
    </row>
    <row r="4791" spans="1:8" x14ac:dyDescent="0.2">
      <c r="A4791" t="s">
        <v>5</v>
      </c>
      <c r="B4791" t="s">
        <v>26</v>
      </c>
    </row>
    <row r="4792" spans="1:8" x14ac:dyDescent="0.2">
      <c r="A4792" t="s">
        <v>6</v>
      </c>
      <c r="B4792">
        <v>1</v>
      </c>
    </row>
    <row r="4793" spans="1:8" x14ac:dyDescent="0.2">
      <c r="A4793" t="s">
        <v>7</v>
      </c>
      <c r="B4793" t="s">
        <v>71</v>
      </c>
    </row>
    <row r="4794" spans="1:8" x14ac:dyDescent="0.2">
      <c r="A4794" t="s">
        <v>8</v>
      </c>
      <c r="B4794" t="s">
        <v>9</v>
      </c>
    </row>
    <row r="4795" spans="1:8" x14ac:dyDescent="0.2">
      <c r="A4795" t="s">
        <v>10</v>
      </c>
      <c r="B4795" t="s">
        <v>10</v>
      </c>
    </row>
    <row r="4796" spans="1:8" x14ac:dyDescent="0.2">
      <c r="A4796" t="s">
        <v>11</v>
      </c>
      <c r="B4796" t="s">
        <v>12</v>
      </c>
    </row>
    <row r="4797" spans="1:8" x14ac:dyDescent="0.2">
      <c r="A4797" t="s">
        <v>13</v>
      </c>
      <c r="B4797" t="s">
        <v>291</v>
      </c>
    </row>
    <row r="4798" spans="1:8" x14ac:dyDescent="0.2">
      <c r="A4798" t="s">
        <v>14</v>
      </c>
      <c r="B4798" t="s">
        <v>271</v>
      </c>
    </row>
    <row r="4799" spans="1:8" x14ac:dyDescent="0.2">
      <c r="A4799" t="s">
        <v>16</v>
      </c>
      <c r="B4799" t="s">
        <v>15</v>
      </c>
    </row>
    <row r="4800" spans="1:8" x14ac:dyDescent="0.2">
      <c r="A4800" t="s">
        <v>17</v>
      </c>
      <c r="B4800" t="s">
        <v>254</v>
      </c>
    </row>
    <row r="4801" spans="1:8" ht="16" x14ac:dyDescent="0.2">
      <c r="A4801" s="1" t="s">
        <v>18</v>
      </c>
    </row>
    <row r="4802" spans="1:8" x14ac:dyDescent="0.2">
      <c r="A4802" t="s">
        <v>19</v>
      </c>
      <c r="B4802" t="s">
        <v>20</v>
      </c>
      <c r="C4802" t="s">
        <v>5</v>
      </c>
      <c r="D4802" t="s">
        <v>10</v>
      </c>
      <c r="E4802" t="s">
        <v>22</v>
      </c>
      <c r="F4802" t="s">
        <v>8</v>
      </c>
      <c r="G4802" t="s">
        <v>7</v>
      </c>
      <c r="H4802" t="s">
        <v>23</v>
      </c>
    </row>
    <row r="4803" spans="1:8" x14ac:dyDescent="0.2">
      <c r="A4803" t="s">
        <v>61</v>
      </c>
      <c r="B4803">
        <v>139.4021739130435</v>
      </c>
      <c r="C4803" t="s">
        <v>33</v>
      </c>
      <c r="D4803" t="s">
        <v>27</v>
      </c>
      <c r="E4803" t="s">
        <v>15</v>
      </c>
      <c r="F4803" t="s">
        <v>28</v>
      </c>
      <c r="G4803" t="s">
        <v>61</v>
      </c>
      <c r="H4803" t="s">
        <v>62</v>
      </c>
    </row>
    <row r="4804" spans="1:8" x14ac:dyDescent="0.2">
      <c r="A4804" t="s">
        <v>272</v>
      </c>
      <c r="B4804">
        <v>1350</v>
      </c>
      <c r="C4804" t="s">
        <v>33</v>
      </c>
      <c r="D4804" t="s">
        <v>27</v>
      </c>
      <c r="E4804" t="s">
        <v>15</v>
      </c>
      <c r="F4804" t="s">
        <v>28</v>
      </c>
      <c r="G4804" t="s">
        <v>273</v>
      </c>
      <c r="H4804" t="s">
        <v>62</v>
      </c>
    </row>
    <row r="4805" spans="1:8" x14ac:dyDescent="0.2">
      <c r="A4805" t="s">
        <v>274</v>
      </c>
      <c r="B4805">
        <v>260.12539216958709</v>
      </c>
      <c r="C4805" t="s">
        <v>33</v>
      </c>
      <c r="D4805" t="s">
        <v>27</v>
      </c>
      <c r="E4805" t="s">
        <v>15</v>
      </c>
      <c r="F4805" t="s">
        <v>28</v>
      </c>
      <c r="G4805" t="s">
        <v>500</v>
      </c>
      <c r="H4805" t="s">
        <v>275</v>
      </c>
    </row>
    <row r="4806" spans="1:8" x14ac:dyDescent="0.2">
      <c r="A4806" t="s">
        <v>60</v>
      </c>
      <c r="B4806">
        <v>46.812499999999993</v>
      </c>
      <c r="C4806" t="s">
        <v>26</v>
      </c>
      <c r="D4806" t="s">
        <v>27</v>
      </c>
      <c r="E4806" t="s">
        <v>15</v>
      </c>
      <c r="F4806" t="s">
        <v>28</v>
      </c>
      <c r="G4806" t="s">
        <v>54</v>
      </c>
      <c r="H4806" t="s">
        <v>34</v>
      </c>
    </row>
    <row r="4807" spans="1:8" x14ac:dyDescent="0.2">
      <c r="A4807" t="s">
        <v>276</v>
      </c>
      <c r="B4807">
        <v>-1257.410326086957</v>
      </c>
      <c r="C4807" t="s">
        <v>33</v>
      </c>
      <c r="D4807" t="s">
        <v>27</v>
      </c>
      <c r="E4807" t="s">
        <v>15</v>
      </c>
      <c r="F4807" t="s">
        <v>28</v>
      </c>
      <c r="G4807" t="s">
        <v>277</v>
      </c>
      <c r="H4807" t="s">
        <v>25</v>
      </c>
    </row>
    <row r="4808" spans="1:8" x14ac:dyDescent="0.2">
      <c r="A4808" t="s">
        <v>501</v>
      </c>
      <c r="B4808">
        <v>-260.12539216958709</v>
      </c>
      <c r="C4808" t="s">
        <v>33</v>
      </c>
      <c r="D4808" t="s">
        <v>27</v>
      </c>
      <c r="E4808" t="s">
        <v>15</v>
      </c>
      <c r="F4808" t="s">
        <v>28</v>
      </c>
      <c r="G4808" t="s">
        <v>502</v>
      </c>
      <c r="H4808" t="s">
        <v>25</v>
      </c>
    </row>
    <row r="4809" spans="1:8" x14ac:dyDescent="0.2">
      <c r="A4809" t="s">
        <v>398</v>
      </c>
      <c r="B4809">
        <v>1</v>
      </c>
      <c r="C4809" t="s">
        <v>26</v>
      </c>
      <c r="D4809" t="s">
        <v>10</v>
      </c>
      <c r="E4809" t="s">
        <v>15</v>
      </c>
      <c r="F4809" t="s">
        <v>24</v>
      </c>
      <c r="G4809" t="s">
        <v>71</v>
      </c>
      <c r="H4809" t="s">
        <v>25</v>
      </c>
    </row>
    <row r="4811" spans="1:8" ht="16" x14ac:dyDescent="0.2">
      <c r="A4811" s="1" t="s">
        <v>4</v>
      </c>
      <c r="B4811" s="1" t="s">
        <v>342</v>
      </c>
    </row>
    <row r="4812" spans="1:8" x14ac:dyDescent="0.2">
      <c r="A4812" t="s">
        <v>5</v>
      </c>
      <c r="B4812" t="s">
        <v>26</v>
      </c>
    </row>
    <row r="4813" spans="1:8" x14ac:dyDescent="0.2">
      <c r="A4813" t="s">
        <v>6</v>
      </c>
      <c r="B4813">
        <v>1</v>
      </c>
    </row>
    <row r="4814" spans="1:8" x14ac:dyDescent="0.2">
      <c r="A4814" t="s">
        <v>7</v>
      </c>
      <c r="B4814" t="s">
        <v>73</v>
      </c>
    </row>
    <row r="4815" spans="1:8" x14ac:dyDescent="0.2">
      <c r="A4815" t="s">
        <v>8</v>
      </c>
      <c r="B4815" t="s">
        <v>9</v>
      </c>
    </row>
    <row r="4816" spans="1:8" x14ac:dyDescent="0.2">
      <c r="A4816" t="s">
        <v>10</v>
      </c>
      <c r="B4816" t="s">
        <v>10</v>
      </c>
    </row>
    <row r="4817" spans="1:8" x14ac:dyDescent="0.2">
      <c r="A4817" t="s">
        <v>11</v>
      </c>
      <c r="B4817" t="s">
        <v>12</v>
      </c>
    </row>
    <row r="4818" spans="1:8" x14ac:dyDescent="0.2">
      <c r="A4818" t="s">
        <v>13</v>
      </c>
      <c r="B4818" t="s">
        <v>291</v>
      </c>
    </row>
    <row r="4819" spans="1:8" x14ac:dyDescent="0.2">
      <c r="A4819" t="s">
        <v>14</v>
      </c>
      <c r="B4819" t="s">
        <v>271</v>
      </c>
    </row>
    <row r="4820" spans="1:8" x14ac:dyDescent="0.2">
      <c r="A4820" t="s">
        <v>16</v>
      </c>
      <c r="B4820" t="s">
        <v>15</v>
      </c>
    </row>
    <row r="4821" spans="1:8" x14ac:dyDescent="0.2">
      <c r="A4821" t="s">
        <v>17</v>
      </c>
      <c r="B4821" t="s">
        <v>255</v>
      </c>
    </row>
    <row r="4822" spans="1:8" ht="16" x14ac:dyDescent="0.2">
      <c r="A4822" s="1" t="s">
        <v>18</v>
      </c>
    </row>
    <row r="4823" spans="1:8" x14ac:dyDescent="0.2">
      <c r="A4823" t="s">
        <v>19</v>
      </c>
      <c r="B4823" t="s">
        <v>20</v>
      </c>
      <c r="C4823" t="s">
        <v>5</v>
      </c>
      <c r="D4823" t="s">
        <v>10</v>
      </c>
      <c r="E4823" t="s">
        <v>22</v>
      </c>
      <c r="F4823" t="s">
        <v>8</v>
      </c>
      <c r="G4823" t="s">
        <v>7</v>
      </c>
      <c r="H4823" t="s">
        <v>23</v>
      </c>
    </row>
    <row r="4824" spans="1:8" x14ac:dyDescent="0.2">
      <c r="A4824" t="s">
        <v>61</v>
      </c>
      <c r="B4824">
        <v>143.804347826087</v>
      </c>
      <c r="C4824" t="s">
        <v>33</v>
      </c>
      <c r="D4824" t="s">
        <v>27</v>
      </c>
      <c r="E4824" t="s">
        <v>15</v>
      </c>
      <c r="F4824" t="s">
        <v>28</v>
      </c>
      <c r="G4824" t="s">
        <v>61</v>
      </c>
      <c r="H4824" t="s">
        <v>62</v>
      </c>
    </row>
    <row r="4825" spans="1:8" x14ac:dyDescent="0.2">
      <c r="A4825" t="s">
        <v>272</v>
      </c>
      <c r="B4825">
        <v>1350</v>
      </c>
      <c r="C4825" t="s">
        <v>33</v>
      </c>
      <c r="D4825" t="s">
        <v>27</v>
      </c>
      <c r="E4825" t="s">
        <v>15</v>
      </c>
      <c r="F4825" t="s">
        <v>28</v>
      </c>
      <c r="G4825" t="s">
        <v>273</v>
      </c>
      <c r="H4825" t="s">
        <v>62</v>
      </c>
    </row>
    <row r="4826" spans="1:8" x14ac:dyDescent="0.2">
      <c r="A4826" t="s">
        <v>274</v>
      </c>
      <c r="B4826">
        <v>258.3562809169473</v>
      </c>
      <c r="C4826" t="s">
        <v>33</v>
      </c>
      <c r="D4826" t="s">
        <v>27</v>
      </c>
      <c r="E4826" t="s">
        <v>15</v>
      </c>
      <c r="F4826" t="s">
        <v>28</v>
      </c>
      <c r="G4826" t="s">
        <v>500</v>
      </c>
      <c r="H4826" t="s">
        <v>275</v>
      </c>
    </row>
    <row r="4827" spans="1:8" x14ac:dyDescent="0.2">
      <c r="A4827" t="s">
        <v>60</v>
      </c>
      <c r="B4827">
        <v>49.041666666666657</v>
      </c>
      <c r="C4827" t="s">
        <v>26</v>
      </c>
      <c r="D4827" t="s">
        <v>27</v>
      </c>
      <c r="E4827" t="s">
        <v>15</v>
      </c>
      <c r="F4827" t="s">
        <v>28</v>
      </c>
      <c r="G4827" t="s">
        <v>54</v>
      </c>
      <c r="H4827" t="s">
        <v>34</v>
      </c>
    </row>
    <row r="4828" spans="1:8" x14ac:dyDescent="0.2">
      <c r="A4828" t="s">
        <v>276</v>
      </c>
      <c r="B4828">
        <v>-1255.23731884058</v>
      </c>
      <c r="C4828" t="s">
        <v>33</v>
      </c>
      <c r="D4828" t="s">
        <v>27</v>
      </c>
      <c r="E4828" t="s">
        <v>15</v>
      </c>
      <c r="F4828" t="s">
        <v>28</v>
      </c>
      <c r="G4828" t="s">
        <v>277</v>
      </c>
      <c r="H4828" t="s">
        <v>25</v>
      </c>
    </row>
    <row r="4829" spans="1:8" x14ac:dyDescent="0.2">
      <c r="A4829" t="s">
        <v>501</v>
      </c>
      <c r="B4829">
        <v>-258.3562809169473</v>
      </c>
      <c r="C4829" t="s">
        <v>33</v>
      </c>
      <c r="D4829" t="s">
        <v>27</v>
      </c>
      <c r="E4829" t="s">
        <v>15</v>
      </c>
      <c r="F4829" t="s">
        <v>28</v>
      </c>
      <c r="G4829" t="s">
        <v>502</v>
      </c>
      <c r="H4829" t="s">
        <v>25</v>
      </c>
    </row>
    <row r="4830" spans="1:8" x14ac:dyDescent="0.2">
      <c r="A4830" t="s">
        <v>342</v>
      </c>
      <c r="B4830">
        <v>1</v>
      </c>
      <c r="C4830" t="s">
        <v>26</v>
      </c>
      <c r="D4830" t="s">
        <v>10</v>
      </c>
      <c r="E4830" t="s">
        <v>15</v>
      </c>
      <c r="F4830" t="s">
        <v>24</v>
      </c>
      <c r="G4830" t="s">
        <v>73</v>
      </c>
      <c r="H4830" t="s">
        <v>25</v>
      </c>
    </row>
    <row r="4833" spans="1:8" ht="16" x14ac:dyDescent="0.2">
      <c r="A4833" s="1" t="s">
        <v>4</v>
      </c>
      <c r="B4833" s="1" t="s">
        <v>475</v>
      </c>
    </row>
    <row r="4834" spans="1:8" x14ac:dyDescent="0.2">
      <c r="A4834" t="s">
        <v>5</v>
      </c>
      <c r="B4834" t="s">
        <v>26</v>
      </c>
    </row>
    <row r="4835" spans="1:8" x14ac:dyDescent="0.2">
      <c r="A4835" t="s">
        <v>6</v>
      </c>
      <c r="B4835">
        <v>1</v>
      </c>
    </row>
    <row r="4836" spans="1:8" x14ac:dyDescent="0.2">
      <c r="A4836" t="s">
        <v>7</v>
      </c>
      <c r="B4836" t="s">
        <v>65</v>
      </c>
    </row>
    <row r="4837" spans="1:8" x14ac:dyDescent="0.2">
      <c r="A4837" t="s">
        <v>8</v>
      </c>
      <c r="B4837" t="s">
        <v>9</v>
      </c>
    </row>
    <row r="4838" spans="1:8" x14ac:dyDescent="0.2">
      <c r="A4838" t="s">
        <v>10</v>
      </c>
      <c r="B4838" t="s">
        <v>10</v>
      </c>
    </row>
    <row r="4839" spans="1:8" x14ac:dyDescent="0.2">
      <c r="A4839" t="s">
        <v>11</v>
      </c>
      <c r="B4839" t="s">
        <v>12</v>
      </c>
    </row>
    <row r="4840" spans="1:8" x14ac:dyDescent="0.2">
      <c r="A4840" t="s">
        <v>13</v>
      </c>
      <c r="B4840" t="s">
        <v>291</v>
      </c>
    </row>
    <row r="4841" spans="1:8" x14ac:dyDescent="0.2">
      <c r="A4841" t="s">
        <v>14</v>
      </c>
      <c r="B4841" t="s">
        <v>271</v>
      </c>
    </row>
    <row r="4842" spans="1:8" x14ac:dyDescent="0.2">
      <c r="A4842" t="s">
        <v>16</v>
      </c>
      <c r="B4842" t="s">
        <v>15</v>
      </c>
    </row>
    <row r="4843" spans="1:8" x14ac:dyDescent="0.2">
      <c r="A4843" t="s">
        <v>17</v>
      </c>
      <c r="B4843" t="s">
        <v>256</v>
      </c>
    </row>
    <row r="4844" spans="1:8" ht="16" x14ac:dyDescent="0.2">
      <c r="A4844" s="1" t="s">
        <v>18</v>
      </c>
    </row>
    <row r="4845" spans="1:8" x14ac:dyDescent="0.2">
      <c r="A4845" t="s">
        <v>19</v>
      </c>
      <c r="B4845" t="s">
        <v>20</v>
      </c>
      <c r="C4845" t="s">
        <v>5</v>
      </c>
      <c r="D4845" t="s">
        <v>10</v>
      </c>
      <c r="E4845" t="s">
        <v>22</v>
      </c>
      <c r="F4845" t="s">
        <v>8</v>
      </c>
      <c r="G4845" t="s">
        <v>7</v>
      </c>
      <c r="H4845" t="s">
        <v>23</v>
      </c>
    </row>
    <row r="4846" spans="1:8" x14ac:dyDescent="0.2">
      <c r="A4846" t="s">
        <v>486</v>
      </c>
      <c r="B4846">
        <v>129.8333333333334</v>
      </c>
      <c r="C4846" t="s">
        <v>26</v>
      </c>
      <c r="D4846" t="s">
        <v>27</v>
      </c>
      <c r="E4846" t="s">
        <v>15</v>
      </c>
      <c r="F4846" t="s">
        <v>28</v>
      </c>
      <c r="G4846" t="s">
        <v>487</v>
      </c>
      <c r="H4846" t="s">
        <v>25</v>
      </c>
    </row>
    <row r="4847" spans="1:8" x14ac:dyDescent="0.2">
      <c r="A4847" t="s">
        <v>61</v>
      </c>
      <c r="B4847">
        <v>115</v>
      </c>
      <c r="C4847" t="s">
        <v>33</v>
      </c>
      <c r="D4847" t="s">
        <v>27</v>
      </c>
      <c r="E4847" t="s">
        <v>15</v>
      </c>
      <c r="F4847" t="s">
        <v>28</v>
      </c>
      <c r="G4847" t="s">
        <v>61</v>
      </c>
      <c r="H4847" t="s">
        <v>62</v>
      </c>
    </row>
    <row r="4848" spans="1:8" x14ac:dyDescent="0.2">
      <c r="A4848" t="s">
        <v>272</v>
      </c>
      <c r="B4848">
        <v>1150</v>
      </c>
      <c r="C4848" t="s">
        <v>33</v>
      </c>
      <c r="D4848" t="s">
        <v>27</v>
      </c>
      <c r="E4848" t="s">
        <v>15</v>
      </c>
      <c r="F4848" t="s">
        <v>28</v>
      </c>
      <c r="G4848" t="s">
        <v>273</v>
      </c>
      <c r="H4848" t="s">
        <v>62</v>
      </c>
    </row>
    <row r="4849" spans="1:8" x14ac:dyDescent="0.2">
      <c r="A4849" t="s">
        <v>274</v>
      </c>
      <c r="B4849">
        <v>231.18806404905641</v>
      </c>
      <c r="C4849" t="s">
        <v>33</v>
      </c>
      <c r="D4849" t="s">
        <v>27</v>
      </c>
      <c r="E4849" t="s">
        <v>15</v>
      </c>
      <c r="F4849" t="s">
        <v>28</v>
      </c>
      <c r="G4849" t="s">
        <v>500</v>
      </c>
      <c r="H4849" t="s">
        <v>275</v>
      </c>
    </row>
    <row r="4850" spans="1:8" x14ac:dyDescent="0.2">
      <c r="A4850" t="s">
        <v>276</v>
      </c>
      <c r="B4850">
        <v>-1164.833333333333</v>
      </c>
      <c r="C4850" t="s">
        <v>33</v>
      </c>
      <c r="D4850" t="s">
        <v>27</v>
      </c>
      <c r="E4850" t="s">
        <v>15</v>
      </c>
      <c r="F4850" t="s">
        <v>28</v>
      </c>
      <c r="G4850" t="s">
        <v>277</v>
      </c>
      <c r="H4850" t="s">
        <v>25</v>
      </c>
    </row>
    <row r="4851" spans="1:8" x14ac:dyDescent="0.2">
      <c r="A4851" t="s">
        <v>501</v>
      </c>
      <c r="B4851">
        <v>-231.18806404905641</v>
      </c>
      <c r="C4851" t="s">
        <v>33</v>
      </c>
      <c r="D4851" t="s">
        <v>27</v>
      </c>
      <c r="E4851" t="s">
        <v>15</v>
      </c>
      <c r="F4851" t="s">
        <v>28</v>
      </c>
      <c r="G4851" t="s">
        <v>502</v>
      </c>
      <c r="H4851" t="s">
        <v>25</v>
      </c>
    </row>
    <row r="4852" spans="1:8" x14ac:dyDescent="0.2">
      <c r="A4852" t="s">
        <v>475</v>
      </c>
      <c r="B4852">
        <v>1</v>
      </c>
      <c r="C4852" t="s">
        <v>26</v>
      </c>
      <c r="D4852" t="s">
        <v>10</v>
      </c>
      <c r="E4852" t="s">
        <v>15</v>
      </c>
      <c r="F4852" t="s">
        <v>24</v>
      </c>
      <c r="G4852" t="s">
        <v>65</v>
      </c>
      <c r="H4852" t="s">
        <v>25</v>
      </c>
    </row>
    <row r="4854" spans="1:8" ht="16" x14ac:dyDescent="0.2">
      <c r="A4854" s="1" t="s">
        <v>4</v>
      </c>
      <c r="B4854" s="1" t="s">
        <v>451</v>
      </c>
    </row>
    <row r="4855" spans="1:8" x14ac:dyDescent="0.2">
      <c r="A4855" t="s">
        <v>5</v>
      </c>
      <c r="B4855" t="s">
        <v>26</v>
      </c>
    </row>
    <row r="4856" spans="1:8" x14ac:dyDescent="0.2">
      <c r="A4856" t="s">
        <v>6</v>
      </c>
      <c r="B4856">
        <v>1</v>
      </c>
    </row>
    <row r="4857" spans="1:8" x14ac:dyDescent="0.2">
      <c r="A4857" t="s">
        <v>7</v>
      </c>
      <c r="B4857" t="s">
        <v>67</v>
      </c>
    </row>
    <row r="4858" spans="1:8" x14ac:dyDescent="0.2">
      <c r="A4858" t="s">
        <v>8</v>
      </c>
      <c r="B4858" t="s">
        <v>9</v>
      </c>
    </row>
    <row r="4859" spans="1:8" x14ac:dyDescent="0.2">
      <c r="A4859" t="s">
        <v>10</v>
      </c>
      <c r="B4859" t="s">
        <v>10</v>
      </c>
    </row>
    <row r="4860" spans="1:8" x14ac:dyDescent="0.2">
      <c r="A4860" t="s">
        <v>11</v>
      </c>
      <c r="B4860" t="s">
        <v>12</v>
      </c>
    </row>
    <row r="4861" spans="1:8" x14ac:dyDescent="0.2">
      <c r="A4861" t="s">
        <v>13</v>
      </c>
      <c r="B4861" t="s">
        <v>291</v>
      </c>
    </row>
    <row r="4862" spans="1:8" x14ac:dyDescent="0.2">
      <c r="A4862" t="s">
        <v>14</v>
      </c>
      <c r="B4862" t="s">
        <v>271</v>
      </c>
    </row>
    <row r="4863" spans="1:8" x14ac:dyDescent="0.2">
      <c r="A4863" t="s">
        <v>16</v>
      </c>
      <c r="B4863" t="s">
        <v>15</v>
      </c>
    </row>
    <row r="4864" spans="1:8" x14ac:dyDescent="0.2">
      <c r="A4864" t="s">
        <v>17</v>
      </c>
      <c r="B4864" t="s">
        <v>257</v>
      </c>
    </row>
    <row r="4865" spans="1:8" ht="16" x14ac:dyDescent="0.2">
      <c r="A4865" s="1" t="s">
        <v>18</v>
      </c>
    </row>
    <row r="4866" spans="1:8" x14ac:dyDescent="0.2">
      <c r="A4866" t="s">
        <v>19</v>
      </c>
      <c r="B4866" t="s">
        <v>20</v>
      </c>
      <c r="C4866" t="s">
        <v>5</v>
      </c>
      <c r="D4866" t="s">
        <v>10</v>
      </c>
      <c r="E4866" t="s">
        <v>22</v>
      </c>
      <c r="F4866" t="s">
        <v>8</v>
      </c>
      <c r="G4866" t="s">
        <v>7</v>
      </c>
      <c r="H4866" t="s">
        <v>23</v>
      </c>
    </row>
    <row r="4867" spans="1:8" x14ac:dyDescent="0.2">
      <c r="A4867" t="s">
        <v>486</v>
      </c>
      <c r="B4867">
        <v>120.5833333333334</v>
      </c>
      <c r="C4867" t="s">
        <v>26</v>
      </c>
      <c r="D4867" t="s">
        <v>27</v>
      </c>
      <c r="E4867" t="s">
        <v>15</v>
      </c>
      <c r="F4867" t="s">
        <v>28</v>
      </c>
      <c r="G4867" t="s">
        <v>487</v>
      </c>
      <c r="H4867" t="s">
        <v>25</v>
      </c>
    </row>
    <row r="4868" spans="1:8" x14ac:dyDescent="0.2">
      <c r="A4868" t="s">
        <v>61</v>
      </c>
      <c r="B4868">
        <v>115</v>
      </c>
      <c r="C4868" t="s">
        <v>33</v>
      </c>
      <c r="D4868" t="s">
        <v>27</v>
      </c>
      <c r="E4868" t="s">
        <v>15</v>
      </c>
      <c r="F4868" t="s">
        <v>28</v>
      </c>
      <c r="G4868" t="s">
        <v>61</v>
      </c>
      <c r="H4868" t="s">
        <v>62</v>
      </c>
    </row>
    <row r="4869" spans="1:8" x14ac:dyDescent="0.2">
      <c r="A4869" t="s">
        <v>272</v>
      </c>
      <c r="B4869">
        <v>1150</v>
      </c>
      <c r="C4869" t="s">
        <v>33</v>
      </c>
      <c r="D4869" t="s">
        <v>27</v>
      </c>
      <c r="E4869" t="s">
        <v>15</v>
      </c>
      <c r="F4869" t="s">
        <v>28</v>
      </c>
      <c r="G4869" t="s">
        <v>273</v>
      </c>
      <c r="H4869" t="s">
        <v>62</v>
      </c>
    </row>
    <row r="4870" spans="1:8" x14ac:dyDescent="0.2">
      <c r="A4870" t="s">
        <v>274</v>
      </c>
      <c r="B4870">
        <v>230.10476730529149</v>
      </c>
      <c r="C4870" t="s">
        <v>33</v>
      </c>
      <c r="D4870" t="s">
        <v>27</v>
      </c>
      <c r="E4870" t="s">
        <v>15</v>
      </c>
      <c r="F4870" t="s">
        <v>28</v>
      </c>
      <c r="G4870" t="s">
        <v>500</v>
      </c>
      <c r="H4870" t="s">
        <v>275</v>
      </c>
    </row>
    <row r="4871" spans="1:8" x14ac:dyDescent="0.2">
      <c r="A4871" t="s">
        <v>276</v>
      </c>
      <c r="B4871">
        <v>-1155.583333333333</v>
      </c>
      <c r="C4871" t="s">
        <v>33</v>
      </c>
      <c r="D4871" t="s">
        <v>27</v>
      </c>
      <c r="E4871" t="s">
        <v>15</v>
      </c>
      <c r="F4871" t="s">
        <v>28</v>
      </c>
      <c r="G4871" t="s">
        <v>277</v>
      </c>
      <c r="H4871" t="s">
        <v>25</v>
      </c>
    </row>
    <row r="4872" spans="1:8" x14ac:dyDescent="0.2">
      <c r="A4872" t="s">
        <v>501</v>
      </c>
      <c r="B4872">
        <v>-230.10476730529149</v>
      </c>
      <c r="C4872" t="s">
        <v>33</v>
      </c>
      <c r="D4872" t="s">
        <v>27</v>
      </c>
      <c r="E4872" t="s">
        <v>15</v>
      </c>
      <c r="F4872" t="s">
        <v>28</v>
      </c>
      <c r="G4872" t="s">
        <v>502</v>
      </c>
      <c r="H4872" t="s">
        <v>25</v>
      </c>
    </row>
    <row r="4873" spans="1:8" x14ac:dyDescent="0.2">
      <c r="A4873" t="s">
        <v>451</v>
      </c>
      <c r="B4873">
        <v>1</v>
      </c>
      <c r="C4873" t="s">
        <v>26</v>
      </c>
      <c r="D4873" t="s">
        <v>10</v>
      </c>
      <c r="E4873" t="s">
        <v>15</v>
      </c>
      <c r="F4873" t="s">
        <v>24</v>
      </c>
      <c r="G4873" t="s">
        <v>67</v>
      </c>
      <c r="H4873" t="s">
        <v>25</v>
      </c>
    </row>
    <row r="4875" spans="1:8" ht="16" x14ac:dyDescent="0.2">
      <c r="A4875" s="1" t="s">
        <v>4</v>
      </c>
      <c r="B4875" s="1" t="s">
        <v>427</v>
      </c>
    </row>
    <row r="4876" spans="1:8" x14ac:dyDescent="0.2">
      <c r="A4876" t="s">
        <v>5</v>
      </c>
      <c r="B4876" t="s">
        <v>26</v>
      </c>
    </row>
    <row r="4877" spans="1:8" x14ac:dyDescent="0.2">
      <c r="A4877" t="s">
        <v>6</v>
      </c>
      <c r="B4877">
        <v>1</v>
      </c>
    </row>
    <row r="4878" spans="1:8" x14ac:dyDescent="0.2">
      <c r="A4878" t="s">
        <v>7</v>
      </c>
      <c r="B4878" t="s">
        <v>69</v>
      </c>
    </row>
    <row r="4879" spans="1:8" x14ac:dyDescent="0.2">
      <c r="A4879" t="s">
        <v>8</v>
      </c>
      <c r="B4879" t="s">
        <v>9</v>
      </c>
    </row>
    <row r="4880" spans="1:8" x14ac:dyDescent="0.2">
      <c r="A4880" t="s">
        <v>10</v>
      </c>
      <c r="B4880" t="s">
        <v>10</v>
      </c>
    </row>
    <row r="4881" spans="1:8" x14ac:dyDescent="0.2">
      <c r="A4881" t="s">
        <v>11</v>
      </c>
      <c r="B4881" t="s">
        <v>12</v>
      </c>
    </row>
    <row r="4882" spans="1:8" x14ac:dyDescent="0.2">
      <c r="A4882" t="s">
        <v>13</v>
      </c>
      <c r="B4882" t="s">
        <v>291</v>
      </c>
    </row>
    <row r="4883" spans="1:8" x14ac:dyDescent="0.2">
      <c r="A4883" t="s">
        <v>14</v>
      </c>
      <c r="B4883" t="s">
        <v>271</v>
      </c>
    </row>
    <row r="4884" spans="1:8" x14ac:dyDescent="0.2">
      <c r="A4884" t="s">
        <v>16</v>
      </c>
      <c r="B4884" t="s">
        <v>15</v>
      </c>
    </row>
    <row r="4885" spans="1:8" x14ac:dyDescent="0.2">
      <c r="A4885" t="s">
        <v>17</v>
      </c>
      <c r="B4885" t="s">
        <v>258</v>
      </c>
    </row>
    <row r="4886" spans="1:8" ht="16" x14ac:dyDescent="0.2">
      <c r="A4886" s="1" t="s">
        <v>18</v>
      </c>
    </row>
    <row r="4887" spans="1:8" x14ac:dyDescent="0.2">
      <c r="A4887" t="s">
        <v>19</v>
      </c>
      <c r="B4887" t="s">
        <v>20</v>
      </c>
      <c r="C4887" t="s">
        <v>5</v>
      </c>
      <c r="D4887" t="s">
        <v>10</v>
      </c>
      <c r="E4887" t="s">
        <v>22</v>
      </c>
      <c r="F4887" t="s">
        <v>8</v>
      </c>
      <c r="G4887" t="s">
        <v>7</v>
      </c>
      <c r="H4887" t="s">
        <v>23</v>
      </c>
    </row>
    <row r="4888" spans="1:8" x14ac:dyDescent="0.2">
      <c r="A4888" t="s">
        <v>486</v>
      </c>
      <c r="B4888">
        <v>111.3333333333333</v>
      </c>
      <c r="C4888" t="s">
        <v>26</v>
      </c>
      <c r="D4888" t="s">
        <v>27</v>
      </c>
      <c r="E4888" t="s">
        <v>15</v>
      </c>
      <c r="F4888" t="s">
        <v>28</v>
      </c>
      <c r="G4888" t="s">
        <v>487</v>
      </c>
      <c r="H4888" t="s">
        <v>25</v>
      </c>
    </row>
    <row r="4889" spans="1:8" x14ac:dyDescent="0.2">
      <c r="A4889" t="s">
        <v>61</v>
      </c>
      <c r="B4889">
        <v>115</v>
      </c>
      <c r="C4889" t="s">
        <v>33</v>
      </c>
      <c r="D4889" t="s">
        <v>27</v>
      </c>
      <c r="E4889" t="s">
        <v>15</v>
      </c>
      <c r="F4889" t="s">
        <v>28</v>
      </c>
      <c r="G4889" t="s">
        <v>61</v>
      </c>
      <c r="H4889" t="s">
        <v>62</v>
      </c>
    </row>
    <row r="4890" spans="1:8" x14ac:dyDescent="0.2">
      <c r="A4890" t="s">
        <v>272</v>
      </c>
      <c r="B4890">
        <v>1150</v>
      </c>
      <c r="C4890" t="s">
        <v>33</v>
      </c>
      <c r="D4890" t="s">
        <v>27</v>
      </c>
      <c r="E4890" t="s">
        <v>15</v>
      </c>
      <c r="F4890" t="s">
        <v>28</v>
      </c>
      <c r="G4890" t="s">
        <v>273</v>
      </c>
      <c r="H4890" t="s">
        <v>62</v>
      </c>
    </row>
    <row r="4891" spans="1:8" x14ac:dyDescent="0.2">
      <c r="A4891" t="s">
        <v>274</v>
      </c>
      <c r="B4891">
        <v>229.0214705615266</v>
      </c>
      <c r="C4891" t="s">
        <v>33</v>
      </c>
      <c r="D4891" t="s">
        <v>27</v>
      </c>
      <c r="E4891" t="s">
        <v>15</v>
      </c>
      <c r="F4891" t="s">
        <v>28</v>
      </c>
      <c r="G4891" t="s">
        <v>500</v>
      </c>
      <c r="H4891" t="s">
        <v>275</v>
      </c>
    </row>
    <row r="4892" spans="1:8" x14ac:dyDescent="0.2">
      <c r="A4892" t="s">
        <v>276</v>
      </c>
      <c r="B4892">
        <v>-1146.333333333333</v>
      </c>
      <c r="C4892" t="s">
        <v>33</v>
      </c>
      <c r="D4892" t="s">
        <v>27</v>
      </c>
      <c r="E4892" t="s">
        <v>15</v>
      </c>
      <c r="F4892" t="s">
        <v>28</v>
      </c>
      <c r="G4892" t="s">
        <v>277</v>
      </c>
      <c r="H4892" t="s">
        <v>25</v>
      </c>
    </row>
    <row r="4893" spans="1:8" x14ac:dyDescent="0.2">
      <c r="A4893" t="s">
        <v>501</v>
      </c>
      <c r="B4893">
        <v>-229.0214705615266</v>
      </c>
      <c r="C4893" t="s">
        <v>33</v>
      </c>
      <c r="D4893" t="s">
        <v>27</v>
      </c>
      <c r="E4893" t="s">
        <v>15</v>
      </c>
      <c r="F4893" t="s">
        <v>28</v>
      </c>
      <c r="G4893" t="s">
        <v>502</v>
      </c>
      <c r="H4893" t="s">
        <v>25</v>
      </c>
    </row>
    <row r="4894" spans="1:8" x14ac:dyDescent="0.2">
      <c r="A4894" t="s">
        <v>427</v>
      </c>
      <c r="B4894">
        <v>1</v>
      </c>
      <c r="C4894" t="s">
        <v>26</v>
      </c>
      <c r="D4894" t="s">
        <v>10</v>
      </c>
      <c r="E4894" t="s">
        <v>15</v>
      </c>
      <c r="F4894" t="s">
        <v>24</v>
      </c>
      <c r="G4894" t="s">
        <v>69</v>
      </c>
      <c r="H4894" t="s">
        <v>25</v>
      </c>
    </row>
    <row r="4896" spans="1:8" ht="16" x14ac:dyDescent="0.2">
      <c r="A4896" s="1" t="s">
        <v>4</v>
      </c>
      <c r="B4896" s="1" t="s">
        <v>399</v>
      </c>
    </row>
    <row r="4897" spans="1:8" x14ac:dyDescent="0.2">
      <c r="A4897" t="s">
        <v>5</v>
      </c>
      <c r="B4897" t="s">
        <v>26</v>
      </c>
    </row>
    <row r="4898" spans="1:8" x14ac:dyDescent="0.2">
      <c r="A4898" t="s">
        <v>6</v>
      </c>
      <c r="B4898">
        <v>1</v>
      </c>
    </row>
    <row r="4899" spans="1:8" x14ac:dyDescent="0.2">
      <c r="A4899" t="s">
        <v>7</v>
      </c>
      <c r="B4899" t="s">
        <v>71</v>
      </c>
    </row>
    <row r="4900" spans="1:8" x14ac:dyDescent="0.2">
      <c r="A4900" t="s">
        <v>8</v>
      </c>
      <c r="B4900" t="s">
        <v>9</v>
      </c>
    </row>
    <row r="4901" spans="1:8" x14ac:dyDescent="0.2">
      <c r="A4901" t="s">
        <v>10</v>
      </c>
      <c r="B4901" t="s">
        <v>10</v>
      </c>
    </row>
    <row r="4902" spans="1:8" x14ac:dyDescent="0.2">
      <c r="A4902" t="s">
        <v>11</v>
      </c>
      <c r="B4902" t="s">
        <v>12</v>
      </c>
    </row>
    <row r="4903" spans="1:8" x14ac:dyDescent="0.2">
      <c r="A4903" t="s">
        <v>13</v>
      </c>
      <c r="B4903" t="s">
        <v>291</v>
      </c>
    </row>
    <row r="4904" spans="1:8" x14ac:dyDescent="0.2">
      <c r="A4904" t="s">
        <v>14</v>
      </c>
      <c r="B4904" t="s">
        <v>271</v>
      </c>
    </row>
    <row r="4905" spans="1:8" x14ac:dyDescent="0.2">
      <c r="A4905" t="s">
        <v>16</v>
      </c>
      <c r="B4905" t="s">
        <v>15</v>
      </c>
    </row>
    <row r="4906" spans="1:8" x14ac:dyDescent="0.2">
      <c r="A4906" t="s">
        <v>17</v>
      </c>
      <c r="B4906" t="s">
        <v>259</v>
      </c>
    </row>
    <row r="4907" spans="1:8" ht="16" x14ac:dyDescent="0.2">
      <c r="A4907" s="1" t="s">
        <v>18</v>
      </c>
    </row>
    <row r="4908" spans="1:8" x14ac:dyDescent="0.2">
      <c r="A4908" t="s">
        <v>19</v>
      </c>
      <c r="B4908" t="s">
        <v>20</v>
      </c>
      <c r="C4908" t="s">
        <v>5</v>
      </c>
      <c r="D4908" t="s">
        <v>10</v>
      </c>
      <c r="E4908" t="s">
        <v>22</v>
      </c>
      <c r="F4908" t="s">
        <v>8</v>
      </c>
      <c r="G4908" t="s">
        <v>7</v>
      </c>
      <c r="H4908" t="s">
        <v>23</v>
      </c>
    </row>
    <row r="4909" spans="1:8" x14ac:dyDescent="0.2">
      <c r="A4909" t="s">
        <v>486</v>
      </c>
      <c r="B4909">
        <v>106.13858695652171</v>
      </c>
      <c r="C4909" t="s">
        <v>26</v>
      </c>
      <c r="D4909" t="s">
        <v>27</v>
      </c>
      <c r="E4909" t="s">
        <v>15</v>
      </c>
      <c r="F4909" t="s">
        <v>28</v>
      </c>
      <c r="G4909" t="s">
        <v>487</v>
      </c>
      <c r="H4909" t="s">
        <v>25</v>
      </c>
    </row>
    <row r="4910" spans="1:8" x14ac:dyDescent="0.2">
      <c r="A4910" t="s">
        <v>61</v>
      </c>
      <c r="B4910">
        <v>129.07608695652169</v>
      </c>
      <c r="C4910" t="s">
        <v>33</v>
      </c>
      <c r="D4910" t="s">
        <v>27</v>
      </c>
      <c r="E4910" t="s">
        <v>15</v>
      </c>
      <c r="F4910" t="s">
        <v>28</v>
      </c>
      <c r="G4910" t="s">
        <v>61</v>
      </c>
      <c r="H4910" t="s">
        <v>62</v>
      </c>
    </row>
    <row r="4911" spans="1:8" x14ac:dyDescent="0.2">
      <c r="A4911" t="s">
        <v>272</v>
      </c>
      <c r="B4911">
        <v>1250</v>
      </c>
      <c r="C4911" t="s">
        <v>33</v>
      </c>
      <c r="D4911" t="s">
        <v>27</v>
      </c>
      <c r="E4911" t="s">
        <v>15</v>
      </c>
      <c r="F4911" t="s">
        <v>28</v>
      </c>
      <c r="G4911" t="s">
        <v>273</v>
      </c>
      <c r="H4911" t="s">
        <v>62</v>
      </c>
    </row>
    <row r="4912" spans="1:8" x14ac:dyDescent="0.2">
      <c r="A4912" t="s">
        <v>274</v>
      </c>
      <c r="B4912">
        <v>234.26064767696269</v>
      </c>
      <c r="C4912" t="s">
        <v>33</v>
      </c>
      <c r="D4912" t="s">
        <v>27</v>
      </c>
      <c r="E4912" t="s">
        <v>15</v>
      </c>
      <c r="F4912" t="s">
        <v>28</v>
      </c>
      <c r="G4912" t="s">
        <v>500</v>
      </c>
      <c r="H4912" t="s">
        <v>275</v>
      </c>
    </row>
    <row r="4913" spans="1:8" x14ac:dyDescent="0.2">
      <c r="A4913" t="s">
        <v>276</v>
      </c>
      <c r="B4913">
        <v>-1227.0625</v>
      </c>
      <c r="C4913" t="s">
        <v>33</v>
      </c>
      <c r="D4913" t="s">
        <v>27</v>
      </c>
      <c r="E4913" t="s">
        <v>15</v>
      </c>
      <c r="F4913" t="s">
        <v>28</v>
      </c>
      <c r="G4913" t="s">
        <v>277</v>
      </c>
      <c r="H4913" t="s">
        <v>25</v>
      </c>
    </row>
    <row r="4914" spans="1:8" x14ac:dyDescent="0.2">
      <c r="A4914" t="s">
        <v>501</v>
      </c>
      <c r="B4914">
        <v>-234.26064767696269</v>
      </c>
      <c r="C4914" t="s">
        <v>33</v>
      </c>
      <c r="D4914" t="s">
        <v>27</v>
      </c>
      <c r="E4914" t="s">
        <v>15</v>
      </c>
      <c r="F4914" t="s">
        <v>28</v>
      </c>
      <c r="G4914" t="s">
        <v>502</v>
      </c>
      <c r="H4914" t="s">
        <v>25</v>
      </c>
    </row>
    <row r="4915" spans="1:8" x14ac:dyDescent="0.2">
      <c r="A4915" t="s">
        <v>399</v>
      </c>
      <c r="B4915">
        <v>1</v>
      </c>
      <c r="C4915" t="s">
        <v>26</v>
      </c>
      <c r="D4915" t="s">
        <v>10</v>
      </c>
      <c r="E4915" t="s">
        <v>15</v>
      </c>
      <c r="F4915" t="s">
        <v>24</v>
      </c>
      <c r="G4915" t="s">
        <v>71</v>
      </c>
      <c r="H4915" t="s">
        <v>25</v>
      </c>
    </row>
    <row r="4917" spans="1:8" ht="16" x14ac:dyDescent="0.2">
      <c r="A4917" s="1" t="s">
        <v>4</v>
      </c>
      <c r="B4917" s="1" t="s">
        <v>343</v>
      </c>
    </row>
    <row r="4918" spans="1:8" x14ac:dyDescent="0.2">
      <c r="A4918" t="s">
        <v>5</v>
      </c>
      <c r="B4918" t="s">
        <v>26</v>
      </c>
    </row>
    <row r="4919" spans="1:8" x14ac:dyDescent="0.2">
      <c r="A4919" t="s">
        <v>6</v>
      </c>
      <c r="B4919">
        <v>1</v>
      </c>
    </row>
    <row r="4920" spans="1:8" x14ac:dyDescent="0.2">
      <c r="A4920" t="s">
        <v>7</v>
      </c>
      <c r="B4920" t="s">
        <v>73</v>
      </c>
    </row>
    <row r="4921" spans="1:8" x14ac:dyDescent="0.2">
      <c r="A4921" t="s">
        <v>8</v>
      </c>
      <c r="B4921" t="s">
        <v>9</v>
      </c>
    </row>
    <row r="4922" spans="1:8" x14ac:dyDescent="0.2">
      <c r="A4922" t="s">
        <v>10</v>
      </c>
      <c r="B4922" t="s">
        <v>10</v>
      </c>
    </row>
    <row r="4923" spans="1:8" x14ac:dyDescent="0.2">
      <c r="A4923" t="s">
        <v>11</v>
      </c>
      <c r="B4923" t="s">
        <v>12</v>
      </c>
    </row>
    <row r="4924" spans="1:8" x14ac:dyDescent="0.2">
      <c r="A4924" t="s">
        <v>13</v>
      </c>
      <c r="B4924" t="s">
        <v>291</v>
      </c>
    </row>
    <row r="4925" spans="1:8" x14ac:dyDescent="0.2">
      <c r="A4925" t="s">
        <v>14</v>
      </c>
      <c r="B4925" t="s">
        <v>271</v>
      </c>
    </row>
    <row r="4926" spans="1:8" x14ac:dyDescent="0.2">
      <c r="A4926" t="s">
        <v>16</v>
      </c>
      <c r="B4926" t="s">
        <v>15</v>
      </c>
    </row>
    <row r="4927" spans="1:8" x14ac:dyDescent="0.2">
      <c r="A4927" t="s">
        <v>17</v>
      </c>
      <c r="B4927" t="s">
        <v>260</v>
      </c>
    </row>
    <row r="4928" spans="1:8" ht="16" x14ac:dyDescent="0.2">
      <c r="A4928" s="1" t="s">
        <v>18</v>
      </c>
    </row>
    <row r="4929" spans="1:8" x14ac:dyDescent="0.2">
      <c r="A4929" t="s">
        <v>19</v>
      </c>
      <c r="B4929" t="s">
        <v>20</v>
      </c>
      <c r="C4929" t="s">
        <v>5</v>
      </c>
      <c r="D4929" t="s">
        <v>10</v>
      </c>
      <c r="E4929" t="s">
        <v>22</v>
      </c>
      <c r="F4929" t="s">
        <v>8</v>
      </c>
      <c r="G4929" t="s">
        <v>7</v>
      </c>
      <c r="H4929" t="s">
        <v>23</v>
      </c>
    </row>
    <row r="4930" spans="1:8" x14ac:dyDescent="0.2">
      <c r="A4930" t="s">
        <v>486</v>
      </c>
      <c r="B4930">
        <v>100.9438405797102</v>
      </c>
      <c r="C4930" t="s">
        <v>26</v>
      </c>
      <c r="D4930" t="s">
        <v>27</v>
      </c>
      <c r="E4930" t="s">
        <v>15</v>
      </c>
      <c r="F4930" t="s">
        <v>28</v>
      </c>
      <c r="G4930" t="s">
        <v>487</v>
      </c>
      <c r="H4930" t="s">
        <v>25</v>
      </c>
    </row>
    <row r="4931" spans="1:8" x14ac:dyDescent="0.2">
      <c r="A4931" t="s">
        <v>61</v>
      </c>
      <c r="B4931">
        <v>143.804347826087</v>
      </c>
      <c r="C4931" t="s">
        <v>33</v>
      </c>
      <c r="D4931" t="s">
        <v>27</v>
      </c>
      <c r="E4931" t="s">
        <v>15</v>
      </c>
      <c r="F4931" t="s">
        <v>28</v>
      </c>
      <c r="G4931" t="s">
        <v>61</v>
      </c>
      <c r="H4931" t="s">
        <v>62</v>
      </c>
    </row>
    <row r="4932" spans="1:8" x14ac:dyDescent="0.2">
      <c r="A4932" t="s">
        <v>272</v>
      </c>
      <c r="B4932">
        <v>1350</v>
      </c>
      <c r="C4932" t="s">
        <v>33</v>
      </c>
      <c r="D4932" t="s">
        <v>27</v>
      </c>
      <c r="E4932" t="s">
        <v>15</v>
      </c>
      <c r="F4932" t="s">
        <v>28</v>
      </c>
      <c r="G4932" t="s">
        <v>273</v>
      </c>
      <c r="H4932" t="s">
        <v>62</v>
      </c>
    </row>
    <row r="4933" spans="1:8" x14ac:dyDescent="0.2">
      <c r="A4933" t="s">
        <v>274</v>
      </c>
      <c r="B4933">
        <v>239.3650983469123</v>
      </c>
      <c r="C4933" t="s">
        <v>33</v>
      </c>
      <c r="D4933" t="s">
        <v>27</v>
      </c>
      <c r="E4933" t="s">
        <v>15</v>
      </c>
      <c r="F4933" t="s">
        <v>28</v>
      </c>
      <c r="G4933" t="s">
        <v>500</v>
      </c>
      <c r="H4933" t="s">
        <v>275</v>
      </c>
    </row>
    <row r="4934" spans="1:8" x14ac:dyDescent="0.2">
      <c r="A4934" t="s">
        <v>276</v>
      </c>
      <c r="B4934">
        <v>-1307.139492753623</v>
      </c>
      <c r="C4934" t="s">
        <v>33</v>
      </c>
      <c r="D4934" t="s">
        <v>27</v>
      </c>
      <c r="E4934" t="s">
        <v>15</v>
      </c>
      <c r="F4934" t="s">
        <v>28</v>
      </c>
      <c r="G4934" t="s">
        <v>277</v>
      </c>
      <c r="H4934" t="s">
        <v>25</v>
      </c>
    </row>
    <row r="4935" spans="1:8" x14ac:dyDescent="0.2">
      <c r="A4935" t="s">
        <v>501</v>
      </c>
      <c r="B4935">
        <v>-239.3650983469123</v>
      </c>
      <c r="C4935" t="s">
        <v>33</v>
      </c>
      <c r="D4935" t="s">
        <v>27</v>
      </c>
      <c r="E4935" t="s">
        <v>15</v>
      </c>
      <c r="F4935" t="s">
        <v>28</v>
      </c>
      <c r="G4935" t="s">
        <v>502</v>
      </c>
      <c r="H4935" t="s">
        <v>25</v>
      </c>
    </row>
    <row r="4936" spans="1:8" x14ac:dyDescent="0.2">
      <c r="A4936" t="s">
        <v>343</v>
      </c>
      <c r="B4936">
        <v>1</v>
      </c>
      <c r="C4936" t="s">
        <v>26</v>
      </c>
      <c r="D4936" t="s">
        <v>10</v>
      </c>
      <c r="E4936" t="s">
        <v>15</v>
      </c>
      <c r="F4936" t="s">
        <v>24</v>
      </c>
      <c r="G4936" t="s">
        <v>73</v>
      </c>
      <c r="H4936" t="s">
        <v>25</v>
      </c>
    </row>
    <row r="4939" spans="1:8" ht="16" x14ac:dyDescent="0.2">
      <c r="A4939" s="1" t="s">
        <v>4</v>
      </c>
      <c r="B4939" s="1" t="s">
        <v>400</v>
      </c>
    </row>
    <row r="4940" spans="1:8" x14ac:dyDescent="0.2">
      <c r="A4940" t="s">
        <v>5</v>
      </c>
      <c r="B4940" t="s">
        <v>26</v>
      </c>
    </row>
    <row r="4941" spans="1:8" x14ac:dyDescent="0.2">
      <c r="A4941" t="s">
        <v>6</v>
      </c>
      <c r="B4941">
        <v>1</v>
      </c>
    </row>
    <row r="4942" spans="1:8" x14ac:dyDescent="0.2">
      <c r="A4942" t="s">
        <v>7</v>
      </c>
      <c r="B4942" t="s">
        <v>71</v>
      </c>
    </row>
    <row r="4943" spans="1:8" x14ac:dyDescent="0.2">
      <c r="A4943" t="s">
        <v>8</v>
      </c>
      <c r="B4943" t="s">
        <v>9</v>
      </c>
    </row>
    <row r="4944" spans="1:8" x14ac:dyDescent="0.2">
      <c r="A4944" t="s">
        <v>10</v>
      </c>
      <c r="B4944" t="s">
        <v>10</v>
      </c>
    </row>
    <row r="4945" spans="1:8" x14ac:dyDescent="0.2">
      <c r="A4945" t="s">
        <v>11</v>
      </c>
      <c r="B4945" t="s">
        <v>12</v>
      </c>
    </row>
    <row r="4946" spans="1:8" x14ac:dyDescent="0.2">
      <c r="A4946" t="s">
        <v>13</v>
      </c>
      <c r="B4946" t="s">
        <v>291</v>
      </c>
    </row>
    <row r="4947" spans="1:8" x14ac:dyDescent="0.2">
      <c r="A4947" t="s">
        <v>14</v>
      </c>
      <c r="B4947" t="s">
        <v>271</v>
      </c>
    </row>
    <row r="4948" spans="1:8" x14ac:dyDescent="0.2">
      <c r="A4948" t="s">
        <v>16</v>
      </c>
      <c r="B4948" t="s">
        <v>15</v>
      </c>
    </row>
    <row r="4949" spans="1:8" x14ac:dyDescent="0.2">
      <c r="A4949" t="s">
        <v>17</v>
      </c>
      <c r="B4949" t="s">
        <v>261</v>
      </c>
    </row>
    <row r="4950" spans="1:8" ht="16" x14ac:dyDescent="0.2">
      <c r="A4950" s="1" t="s">
        <v>18</v>
      </c>
    </row>
    <row r="4951" spans="1:8" x14ac:dyDescent="0.2">
      <c r="A4951" t="s">
        <v>19</v>
      </c>
      <c r="B4951" t="s">
        <v>20</v>
      </c>
      <c r="C4951" t="s">
        <v>5</v>
      </c>
      <c r="D4951" t="s">
        <v>10</v>
      </c>
      <c r="E4951" t="s">
        <v>22</v>
      </c>
      <c r="F4951" t="s">
        <v>8</v>
      </c>
      <c r="G4951" t="s">
        <v>7</v>
      </c>
      <c r="H4951" t="s">
        <v>23</v>
      </c>
    </row>
    <row r="4952" spans="1:8" x14ac:dyDescent="0.2">
      <c r="A4952" t="s">
        <v>610</v>
      </c>
      <c r="B4952">
        <f>54.7</f>
        <v>54.7</v>
      </c>
      <c r="C4952" t="s">
        <v>33</v>
      </c>
      <c r="D4952" t="s">
        <v>39</v>
      </c>
      <c r="F4952" t="s">
        <v>28</v>
      </c>
      <c r="G4952" t="s">
        <v>611</v>
      </c>
      <c r="H4952" t="s">
        <v>34</v>
      </c>
    </row>
    <row r="4953" spans="1:8" x14ac:dyDescent="0.2">
      <c r="A4953" t="s">
        <v>61</v>
      </c>
      <c r="B4953">
        <v>140.67573873968229</v>
      </c>
      <c r="C4953" t="s">
        <v>33</v>
      </c>
      <c r="D4953" t="s">
        <v>27</v>
      </c>
      <c r="E4953" t="s">
        <v>15</v>
      </c>
      <c r="F4953" t="s">
        <v>28</v>
      </c>
      <c r="G4953" t="s">
        <v>61</v>
      </c>
      <c r="H4953" t="s">
        <v>62</v>
      </c>
    </row>
    <row r="4954" spans="1:8" x14ac:dyDescent="0.2">
      <c r="A4954" t="s">
        <v>283</v>
      </c>
      <c r="B4954">
        <v>5.9804347826086959</v>
      </c>
      <c r="C4954" t="s">
        <v>33</v>
      </c>
      <c r="D4954" t="s">
        <v>27</v>
      </c>
      <c r="E4954" t="s">
        <v>15</v>
      </c>
      <c r="F4954" t="s">
        <v>28</v>
      </c>
      <c r="G4954" t="s">
        <v>284</v>
      </c>
      <c r="H4954" t="s">
        <v>34</v>
      </c>
    </row>
    <row r="4955" spans="1:8" x14ac:dyDescent="0.2">
      <c r="A4955" t="s">
        <v>285</v>
      </c>
      <c r="B4955">
        <v>4.4853260869565217</v>
      </c>
      <c r="C4955" t="s">
        <v>33</v>
      </c>
      <c r="D4955" t="s">
        <v>27</v>
      </c>
      <c r="E4955" t="s">
        <v>15</v>
      </c>
      <c r="F4955" t="s">
        <v>28</v>
      </c>
      <c r="G4955" t="s">
        <v>286</v>
      </c>
      <c r="H4955" t="s">
        <v>34</v>
      </c>
    </row>
    <row r="4956" spans="1:8" x14ac:dyDescent="0.2">
      <c r="A4956" t="s">
        <v>278</v>
      </c>
      <c r="B4956">
        <v>38.300207861998878</v>
      </c>
      <c r="C4956" t="s">
        <v>33</v>
      </c>
      <c r="D4956" t="s">
        <v>27</v>
      </c>
      <c r="E4956" t="s">
        <v>15</v>
      </c>
      <c r="F4956" t="s">
        <v>28</v>
      </c>
      <c r="G4956" t="s">
        <v>279</v>
      </c>
      <c r="H4956" t="s">
        <v>275</v>
      </c>
    </row>
    <row r="4957" spans="1:8" x14ac:dyDescent="0.2">
      <c r="A4957" t="s">
        <v>272</v>
      </c>
      <c r="B4957">
        <v>1362.3334699000809</v>
      </c>
      <c r="C4957" t="s">
        <v>33</v>
      </c>
      <c r="D4957" t="s">
        <v>27</v>
      </c>
      <c r="E4957" t="s">
        <v>15</v>
      </c>
      <c r="F4957" t="s">
        <v>28</v>
      </c>
      <c r="G4957" t="s">
        <v>273</v>
      </c>
      <c r="H4957" t="s">
        <v>62</v>
      </c>
    </row>
    <row r="4958" spans="1:8" x14ac:dyDescent="0.2">
      <c r="A4958" t="s">
        <v>274</v>
      </c>
      <c r="B4958">
        <v>271.07858527360719</v>
      </c>
      <c r="C4958" t="s">
        <v>33</v>
      </c>
      <c r="D4958" t="s">
        <v>27</v>
      </c>
      <c r="E4958" t="s">
        <v>15</v>
      </c>
      <c r="F4958" t="s">
        <v>28</v>
      </c>
      <c r="G4958" t="s">
        <v>500</v>
      </c>
      <c r="H4958" t="s">
        <v>275</v>
      </c>
    </row>
    <row r="4959" spans="1:8" x14ac:dyDescent="0.2">
      <c r="A4959" t="s">
        <v>287</v>
      </c>
      <c r="B4959">
        <v>8.9706521739130434</v>
      </c>
      <c r="C4959" t="s">
        <v>33</v>
      </c>
      <c r="D4959" t="s">
        <v>27</v>
      </c>
      <c r="E4959" t="s">
        <v>15</v>
      </c>
      <c r="F4959" t="s">
        <v>28</v>
      </c>
      <c r="G4959" t="s">
        <v>288</v>
      </c>
      <c r="H4959" t="s">
        <v>34</v>
      </c>
    </row>
    <row r="4960" spans="1:8" x14ac:dyDescent="0.2">
      <c r="A4960" t="s">
        <v>289</v>
      </c>
      <c r="B4960">
        <v>3.9869565217391298</v>
      </c>
      <c r="C4960" t="s">
        <v>33</v>
      </c>
      <c r="D4960" t="s">
        <v>27</v>
      </c>
      <c r="E4960" t="s">
        <v>15</v>
      </c>
      <c r="F4960" t="s">
        <v>28</v>
      </c>
      <c r="G4960" t="s">
        <v>290</v>
      </c>
      <c r="H4960" t="s">
        <v>34</v>
      </c>
    </row>
    <row r="4961" spans="1:8" x14ac:dyDescent="0.2">
      <c r="A4961" t="s">
        <v>280</v>
      </c>
      <c r="B4961">
        <v>-61.72357742721627</v>
      </c>
      <c r="C4961" t="s">
        <v>33</v>
      </c>
      <c r="D4961" t="s">
        <v>27</v>
      </c>
      <c r="E4961" t="s">
        <v>15</v>
      </c>
      <c r="F4961" t="s">
        <v>28</v>
      </c>
      <c r="G4961" t="s">
        <v>281</v>
      </c>
      <c r="H4961" t="s">
        <v>282</v>
      </c>
    </row>
    <row r="4962" spans="1:8" x14ac:dyDescent="0.2">
      <c r="A4962" t="s">
        <v>60</v>
      </c>
      <c r="B4962">
        <v>40.19166666666667</v>
      </c>
      <c r="C4962" t="s">
        <v>26</v>
      </c>
      <c r="D4962" t="s">
        <v>27</v>
      </c>
      <c r="E4962" t="s">
        <v>15</v>
      </c>
      <c r="F4962" t="s">
        <v>28</v>
      </c>
      <c r="G4962" t="s">
        <v>54</v>
      </c>
      <c r="H4962" t="s">
        <v>34</v>
      </c>
    </row>
    <row r="4963" spans="1:8" x14ac:dyDescent="0.2">
      <c r="A4963" t="s">
        <v>276</v>
      </c>
      <c r="B4963">
        <v>-1261.8493978270651</v>
      </c>
      <c r="C4963" t="s">
        <v>33</v>
      </c>
      <c r="D4963" t="s">
        <v>27</v>
      </c>
      <c r="E4963" t="s">
        <v>15</v>
      </c>
      <c r="F4963" t="s">
        <v>28</v>
      </c>
      <c r="G4963" t="s">
        <v>277</v>
      </c>
      <c r="H4963" t="s">
        <v>25</v>
      </c>
    </row>
    <row r="4964" spans="1:8" x14ac:dyDescent="0.2">
      <c r="A4964" t="s">
        <v>501</v>
      </c>
      <c r="B4964">
        <v>-271.07858527360719</v>
      </c>
      <c r="C4964" t="s">
        <v>33</v>
      </c>
      <c r="D4964" t="s">
        <v>27</v>
      </c>
      <c r="E4964" t="s">
        <v>15</v>
      </c>
      <c r="F4964" t="s">
        <v>28</v>
      </c>
      <c r="G4964" t="s">
        <v>502</v>
      </c>
      <c r="H4964" t="s">
        <v>25</v>
      </c>
    </row>
    <row r="4965" spans="1:8" x14ac:dyDescent="0.2">
      <c r="A4965" t="s">
        <v>56</v>
      </c>
      <c r="B4965">
        <v>328.31646018989801</v>
      </c>
      <c r="C4965" t="s">
        <v>63</v>
      </c>
      <c r="D4965" t="s">
        <v>39</v>
      </c>
      <c r="E4965" t="s">
        <v>15</v>
      </c>
      <c r="F4965" t="s">
        <v>28</v>
      </c>
      <c r="G4965" t="s">
        <v>58</v>
      </c>
      <c r="H4965" t="s">
        <v>34</v>
      </c>
    </row>
    <row r="4966" spans="1:8" x14ac:dyDescent="0.2">
      <c r="A4966" t="s">
        <v>400</v>
      </c>
      <c r="B4966">
        <v>1</v>
      </c>
      <c r="C4966" t="s">
        <v>26</v>
      </c>
      <c r="D4966" t="s">
        <v>10</v>
      </c>
      <c r="E4966" t="s">
        <v>15</v>
      </c>
      <c r="F4966" t="s">
        <v>24</v>
      </c>
      <c r="G4966" t="s">
        <v>71</v>
      </c>
      <c r="H4966" t="s">
        <v>25</v>
      </c>
    </row>
    <row r="4968" spans="1:8" ht="16" x14ac:dyDescent="0.2">
      <c r="A4968" s="1" t="s">
        <v>4</v>
      </c>
      <c r="B4968" s="1" t="s">
        <v>344</v>
      </c>
    </row>
    <row r="4969" spans="1:8" x14ac:dyDescent="0.2">
      <c r="A4969" t="s">
        <v>5</v>
      </c>
      <c r="B4969" t="s">
        <v>26</v>
      </c>
    </row>
    <row r="4970" spans="1:8" x14ac:dyDescent="0.2">
      <c r="A4970" t="s">
        <v>6</v>
      </c>
      <c r="B4970">
        <v>1</v>
      </c>
    </row>
    <row r="4971" spans="1:8" x14ac:dyDescent="0.2">
      <c r="A4971" t="s">
        <v>7</v>
      </c>
      <c r="B4971" t="s">
        <v>73</v>
      </c>
    </row>
    <row r="4972" spans="1:8" x14ac:dyDescent="0.2">
      <c r="A4972" t="s">
        <v>8</v>
      </c>
      <c r="B4972" t="s">
        <v>9</v>
      </c>
    </row>
    <row r="4973" spans="1:8" x14ac:dyDescent="0.2">
      <c r="A4973" t="s">
        <v>10</v>
      </c>
      <c r="B4973" t="s">
        <v>10</v>
      </c>
    </row>
    <row r="4974" spans="1:8" x14ac:dyDescent="0.2">
      <c r="A4974" t="s">
        <v>11</v>
      </c>
      <c r="B4974" t="s">
        <v>12</v>
      </c>
    </row>
    <row r="4975" spans="1:8" x14ac:dyDescent="0.2">
      <c r="A4975" t="s">
        <v>13</v>
      </c>
      <c r="B4975" t="s">
        <v>291</v>
      </c>
    </row>
    <row r="4976" spans="1:8" x14ac:dyDescent="0.2">
      <c r="A4976" t="s">
        <v>14</v>
      </c>
      <c r="B4976" t="s">
        <v>271</v>
      </c>
    </row>
    <row r="4977" spans="1:8" x14ac:dyDescent="0.2">
      <c r="A4977" t="s">
        <v>16</v>
      </c>
      <c r="B4977" t="s">
        <v>15</v>
      </c>
    </row>
    <row r="4978" spans="1:8" x14ac:dyDescent="0.2">
      <c r="A4978" t="s">
        <v>17</v>
      </c>
      <c r="B4978" t="s">
        <v>262</v>
      </c>
    </row>
    <row r="4979" spans="1:8" ht="16" x14ac:dyDescent="0.2">
      <c r="A4979" s="1" t="s">
        <v>18</v>
      </c>
    </row>
    <row r="4980" spans="1:8" x14ac:dyDescent="0.2">
      <c r="A4980" t="s">
        <v>19</v>
      </c>
      <c r="B4980" t="s">
        <v>20</v>
      </c>
      <c r="C4980" t="s">
        <v>5</v>
      </c>
      <c r="D4980" t="s">
        <v>10</v>
      </c>
      <c r="E4980" t="s">
        <v>22</v>
      </c>
      <c r="F4980" t="s">
        <v>8</v>
      </c>
      <c r="G4980" t="s">
        <v>7</v>
      </c>
      <c r="H4980" t="s">
        <v>23</v>
      </c>
    </row>
    <row r="4981" spans="1:8" x14ac:dyDescent="0.2">
      <c r="A4981" t="s">
        <v>610</v>
      </c>
      <c r="B4981">
        <f>71.2</f>
        <v>71.2</v>
      </c>
      <c r="C4981" t="s">
        <v>33</v>
      </c>
      <c r="D4981" t="s">
        <v>39</v>
      </c>
      <c r="F4981" t="s">
        <v>28</v>
      </c>
      <c r="G4981" t="s">
        <v>611</v>
      </c>
      <c r="H4981" t="s">
        <v>34</v>
      </c>
    </row>
    <row r="4982" spans="1:8" x14ac:dyDescent="0.2">
      <c r="A4982" t="s">
        <v>61</v>
      </c>
      <c r="B4982">
        <v>145.6191208670383</v>
      </c>
      <c r="C4982" t="s">
        <v>33</v>
      </c>
      <c r="D4982" t="s">
        <v>27</v>
      </c>
      <c r="E4982" t="s">
        <v>15</v>
      </c>
      <c r="F4982" t="s">
        <v>28</v>
      </c>
      <c r="G4982" t="s">
        <v>61</v>
      </c>
      <c r="H4982" t="s">
        <v>62</v>
      </c>
    </row>
    <row r="4983" spans="1:8" x14ac:dyDescent="0.2">
      <c r="A4983" t="s">
        <v>283</v>
      </c>
      <c r="B4983">
        <v>5.9608695652173918</v>
      </c>
      <c r="C4983" t="s">
        <v>33</v>
      </c>
      <c r="D4983" t="s">
        <v>27</v>
      </c>
      <c r="E4983" t="s">
        <v>15</v>
      </c>
      <c r="F4983" t="s">
        <v>28</v>
      </c>
      <c r="G4983" t="s">
        <v>284</v>
      </c>
      <c r="H4983" t="s">
        <v>34</v>
      </c>
    </row>
    <row r="4984" spans="1:8" x14ac:dyDescent="0.2">
      <c r="A4984" t="s">
        <v>285</v>
      </c>
      <c r="B4984">
        <v>4.4706521739130434</v>
      </c>
      <c r="C4984" t="s">
        <v>33</v>
      </c>
      <c r="D4984" t="s">
        <v>27</v>
      </c>
      <c r="E4984" t="s">
        <v>15</v>
      </c>
      <c r="F4984" t="s">
        <v>28</v>
      </c>
      <c r="G4984" t="s">
        <v>286</v>
      </c>
      <c r="H4984" t="s">
        <v>34</v>
      </c>
    </row>
    <row r="4985" spans="1:8" x14ac:dyDescent="0.2">
      <c r="A4985" t="s">
        <v>278</v>
      </c>
      <c r="B4985">
        <v>49.42084139770472</v>
      </c>
      <c r="C4985" t="s">
        <v>33</v>
      </c>
      <c r="D4985" t="s">
        <v>27</v>
      </c>
      <c r="E4985" t="s">
        <v>15</v>
      </c>
      <c r="F4985" t="s">
        <v>28</v>
      </c>
      <c r="G4985" t="s">
        <v>279</v>
      </c>
      <c r="H4985" t="s">
        <v>275</v>
      </c>
    </row>
    <row r="4986" spans="1:8" x14ac:dyDescent="0.2">
      <c r="A4986" t="s">
        <v>272</v>
      </c>
      <c r="B4986">
        <v>1367.036644874237</v>
      </c>
      <c r="C4986" t="s">
        <v>33</v>
      </c>
      <c r="D4986" t="s">
        <v>27</v>
      </c>
      <c r="E4986" t="s">
        <v>15</v>
      </c>
      <c r="F4986" t="s">
        <v>28</v>
      </c>
      <c r="G4986" t="s">
        <v>273</v>
      </c>
      <c r="H4986" t="s">
        <v>62</v>
      </c>
    </row>
    <row r="4987" spans="1:8" x14ac:dyDescent="0.2">
      <c r="A4987" t="s">
        <v>274</v>
      </c>
      <c r="B4987">
        <v>255.61613063108911</v>
      </c>
      <c r="C4987" t="s">
        <v>33</v>
      </c>
      <c r="D4987" t="s">
        <v>27</v>
      </c>
      <c r="E4987" t="s">
        <v>15</v>
      </c>
      <c r="F4987" t="s">
        <v>28</v>
      </c>
      <c r="G4987" t="s">
        <v>500</v>
      </c>
      <c r="H4987" t="s">
        <v>275</v>
      </c>
    </row>
    <row r="4988" spans="1:8" x14ac:dyDescent="0.2">
      <c r="A4988" t="s">
        <v>287</v>
      </c>
      <c r="B4988">
        <v>8.9413043478260867</v>
      </c>
      <c r="C4988" t="s">
        <v>33</v>
      </c>
      <c r="D4988" t="s">
        <v>27</v>
      </c>
      <c r="E4988" t="s">
        <v>15</v>
      </c>
      <c r="F4988" t="s">
        <v>28</v>
      </c>
      <c r="G4988" t="s">
        <v>288</v>
      </c>
      <c r="H4988" t="s">
        <v>34</v>
      </c>
    </row>
    <row r="4989" spans="1:8" x14ac:dyDescent="0.2">
      <c r="A4989" t="s">
        <v>289</v>
      </c>
      <c r="B4989">
        <v>3.973913043478261</v>
      </c>
      <c r="C4989" t="s">
        <v>33</v>
      </c>
      <c r="D4989" t="s">
        <v>27</v>
      </c>
      <c r="E4989" t="s">
        <v>15</v>
      </c>
      <c r="F4989" t="s">
        <v>28</v>
      </c>
      <c r="G4989" t="s">
        <v>290</v>
      </c>
      <c r="H4989" t="s">
        <v>34</v>
      </c>
    </row>
    <row r="4990" spans="1:8" x14ac:dyDescent="0.2">
      <c r="A4990" t="s">
        <v>280</v>
      </c>
      <c r="B4990">
        <v>-72.767580528139504</v>
      </c>
      <c r="C4990" t="s">
        <v>33</v>
      </c>
      <c r="D4990" t="s">
        <v>27</v>
      </c>
      <c r="E4990" t="s">
        <v>15</v>
      </c>
      <c r="F4990" t="s">
        <v>28</v>
      </c>
      <c r="G4990" t="s">
        <v>281</v>
      </c>
      <c r="H4990" t="s">
        <v>282</v>
      </c>
    </row>
    <row r="4991" spans="1:8" x14ac:dyDescent="0.2">
      <c r="A4991" t="s">
        <v>60</v>
      </c>
      <c r="B4991">
        <v>48.583333333333329</v>
      </c>
      <c r="C4991" t="s">
        <v>26</v>
      </c>
      <c r="D4991" t="s">
        <v>27</v>
      </c>
      <c r="E4991" t="s">
        <v>15</v>
      </c>
      <c r="F4991" t="s">
        <v>28</v>
      </c>
      <c r="G4991" t="s">
        <v>54</v>
      </c>
      <c r="H4991" t="s">
        <v>34</v>
      </c>
    </row>
    <row r="4992" spans="1:8" x14ac:dyDescent="0.2">
      <c r="A4992" t="s">
        <v>276</v>
      </c>
      <c r="B4992">
        <v>-1270.000857340531</v>
      </c>
      <c r="C4992" t="s">
        <v>33</v>
      </c>
      <c r="D4992" t="s">
        <v>27</v>
      </c>
      <c r="E4992" t="s">
        <v>15</v>
      </c>
      <c r="F4992" t="s">
        <v>28</v>
      </c>
      <c r="G4992" t="s">
        <v>277</v>
      </c>
      <c r="H4992" t="s">
        <v>25</v>
      </c>
    </row>
    <row r="4993" spans="1:8" x14ac:dyDescent="0.2">
      <c r="A4993" t="s">
        <v>501</v>
      </c>
      <c r="B4993">
        <v>-255.61613063108911</v>
      </c>
      <c r="C4993" t="s">
        <v>33</v>
      </c>
      <c r="D4993" t="s">
        <v>27</v>
      </c>
      <c r="E4993" t="s">
        <v>15</v>
      </c>
      <c r="F4993" t="s">
        <v>28</v>
      </c>
      <c r="G4993" t="s">
        <v>502</v>
      </c>
      <c r="H4993" t="s">
        <v>25</v>
      </c>
    </row>
    <row r="4994" spans="1:8" x14ac:dyDescent="0.2">
      <c r="A4994" t="s">
        <v>56</v>
      </c>
      <c r="B4994">
        <v>284.80338828659711</v>
      </c>
      <c r="C4994" t="s">
        <v>63</v>
      </c>
      <c r="D4994" t="s">
        <v>39</v>
      </c>
      <c r="E4994" t="s">
        <v>15</v>
      </c>
      <c r="F4994" t="s">
        <v>28</v>
      </c>
      <c r="G4994" t="s">
        <v>58</v>
      </c>
      <c r="H4994" t="s">
        <v>34</v>
      </c>
    </row>
    <row r="4995" spans="1:8" x14ac:dyDescent="0.2">
      <c r="A4995" t="s">
        <v>344</v>
      </c>
      <c r="B4995">
        <v>1</v>
      </c>
      <c r="C4995" t="s">
        <v>26</v>
      </c>
      <c r="D4995" t="s">
        <v>10</v>
      </c>
      <c r="E4995" t="s">
        <v>15</v>
      </c>
      <c r="F4995" t="s">
        <v>24</v>
      </c>
      <c r="G4995" t="s">
        <v>73</v>
      </c>
      <c r="H4995" t="s">
        <v>25</v>
      </c>
    </row>
    <row r="4998" spans="1:8" ht="16" x14ac:dyDescent="0.2">
      <c r="A4998" s="1" t="s">
        <v>4</v>
      </c>
      <c r="B4998" s="1" t="s">
        <v>401</v>
      </c>
    </row>
    <row r="4999" spans="1:8" x14ac:dyDescent="0.2">
      <c r="A4999" t="s">
        <v>5</v>
      </c>
      <c r="B4999" t="s">
        <v>26</v>
      </c>
    </row>
    <row r="5000" spans="1:8" x14ac:dyDescent="0.2">
      <c r="A5000" t="s">
        <v>6</v>
      </c>
      <c r="B5000">
        <v>1</v>
      </c>
    </row>
    <row r="5001" spans="1:8" x14ac:dyDescent="0.2">
      <c r="A5001" t="s">
        <v>7</v>
      </c>
      <c r="B5001" t="s">
        <v>71</v>
      </c>
    </row>
    <row r="5002" spans="1:8" x14ac:dyDescent="0.2">
      <c r="A5002" t="s">
        <v>8</v>
      </c>
      <c r="B5002" t="s">
        <v>9</v>
      </c>
    </row>
    <row r="5003" spans="1:8" x14ac:dyDescent="0.2">
      <c r="A5003" t="s">
        <v>10</v>
      </c>
      <c r="B5003" t="s">
        <v>10</v>
      </c>
    </row>
    <row r="5004" spans="1:8" x14ac:dyDescent="0.2">
      <c r="A5004" t="s">
        <v>11</v>
      </c>
      <c r="B5004" t="s">
        <v>12</v>
      </c>
    </row>
    <row r="5005" spans="1:8" x14ac:dyDescent="0.2">
      <c r="A5005" t="s">
        <v>13</v>
      </c>
      <c r="B5005" t="s">
        <v>291</v>
      </c>
    </row>
    <row r="5006" spans="1:8" x14ac:dyDescent="0.2">
      <c r="A5006" t="s">
        <v>14</v>
      </c>
      <c r="B5006" t="s">
        <v>271</v>
      </c>
    </row>
    <row r="5007" spans="1:8" x14ac:dyDescent="0.2">
      <c r="A5007" t="s">
        <v>16</v>
      </c>
      <c r="B5007" t="s">
        <v>15</v>
      </c>
    </row>
    <row r="5008" spans="1:8" x14ac:dyDescent="0.2">
      <c r="A5008" t="s">
        <v>17</v>
      </c>
      <c r="B5008" t="s">
        <v>263</v>
      </c>
    </row>
    <row r="5009" spans="1:8" ht="16" x14ac:dyDescent="0.2">
      <c r="A5009" s="1" t="s">
        <v>18</v>
      </c>
    </row>
    <row r="5010" spans="1:8" x14ac:dyDescent="0.2">
      <c r="A5010" t="s">
        <v>19</v>
      </c>
      <c r="B5010" t="s">
        <v>20</v>
      </c>
      <c r="C5010" t="s">
        <v>5</v>
      </c>
      <c r="D5010" t="s">
        <v>10</v>
      </c>
      <c r="E5010" t="s">
        <v>22</v>
      </c>
      <c r="F5010" t="s">
        <v>8</v>
      </c>
      <c r="G5010" t="s">
        <v>7</v>
      </c>
      <c r="H5010" t="s">
        <v>23</v>
      </c>
    </row>
    <row r="5011" spans="1:8" x14ac:dyDescent="0.2">
      <c r="A5011" t="s">
        <v>610</v>
      </c>
      <c r="B5011">
        <f>54.7</f>
        <v>54.7</v>
      </c>
      <c r="C5011" t="s">
        <v>33</v>
      </c>
      <c r="D5011" t="s">
        <v>39</v>
      </c>
      <c r="F5011" t="s">
        <v>28</v>
      </c>
      <c r="G5011" t="s">
        <v>611</v>
      </c>
      <c r="H5011" t="s">
        <v>34</v>
      </c>
    </row>
    <row r="5012" spans="1:8" x14ac:dyDescent="0.2">
      <c r="A5012" t="s">
        <v>61</v>
      </c>
      <c r="B5012">
        <v>140.67573873968229</v>
      </c>
      <c r="C5012" t="s">
        <v>33</v>
      </c>
      <c r="D5012" t="s">
        <v>27</v>
      </c>
      <c r="E5012" t="s">
        <v>15</v>
      </c>
      <c r="F5012" t="s">
        <v>28</v>
      </c>
      <c r="G5012" t="s">
        <v>61</v>
      </c>
      <c r="H5012" t="s">
        <v>62</v>
      </c>
    </row>
    <row r="5013" spans="1:8" x14ac:dyDescent="0.2">
      <c r="A5013" t="s">
        <v>283</v>
      </c>
      <c r="B5013">
        <v>5.9804347826086959</v>
      </c>
      <c r="C5013" t="s">
        <v>33</v>
      </c>
      <c r="D5013" t="s">
        <v>27</v>
      </c>
      <c r="E5013" t="s">
        <v>15</v>
      </c>
      <c r="F5013" t="s">
        <v>28</v>
      </c>
      <c r="G5013" t="s">
        <v>284</v>
      </c>
      <c r="H5013" t="s">
        <v>34</v>
      </c>
    </row>
    <row r="5014" spans="1:8" x14ac:dyDescent="0.2">
      <c r="A5014" t="s">
        <v>285</v>
      </c>
      <c r="B5014">
        <v>4.4853260869565217</v>
      </c>
      <c r="C5014" t="s">
        <v>33</v>
      </c>
      <c r="D5014" t="s">
        <v>27</v>
      </c>
      <c r="E5014" t="s">
        <v>15</v>
      </c>
      <c r="F5014" t="s">
        <v>28</v>
      </c>
      <c r="G5014" t="s">
        <v>286</v>
      </c>
      <c r="H5014" t="s">
        <v>34</v>
      </c>
    </row>
    <row r="5015" spans="1:8" x14ac:dyDescent="0.2">
      <c r="A5015" t="s">
        <v>278</v>
      </c>
      <c r="B5015">
        <v>38.300207861998878</v>
      </c>
      <c r="C5015" t="s">
        <v>33</v>
      </c>
      <c r="D5015" t="s">
        <v>27</v>
      </c>
      <c r="E5015" t="s">
        <v>15</v>
      </c>
      <c r="F5015" t="s">
        <v>28</v>
      </c>
      <c r="G5015" t="s">
        <v>279</v>
      </c>
      <c r="H5015" t="s">
        <v>275</v>
      </c>
    </row>
    <row r="5016" spans="1:8" x14ac:dyDescent="0.2">
      <c r="A5016" t="s">
        <v>272</v>
      </c>
      <c r="B5016">
        <v>1362.3334699000809</v>
      </c>
      <c r="C5016" t="s">
        <v>33</v>
      </c>
      <c r="D5016" t="s">
        <v>27</v>
      </c>
      <c r="E5016" t="s">
        <v>15</v>
      </c>
      <c r="F5016" t="s">
        <v>28</v>
      </c>
      <c r="G5016" t="s">
        <v>273</v>
      </c>
      <c r="H5016" t="s">
        <v>62</v>
      </c>
    </row>
    <row r="5017" spans="1:8" x14ac:dyDescent="0.2">
      <c r="A5017" t="s">
        <v>274</v>
      </c>
      <c r="B5017">
        <v>244.68816227609051</v>
      </c>
      <c r="C5017" t="s">
        <v>33</v>
      </c>
      <c r="D5017" t="s">
        <v>27</v>
      </c>
      <c r="E5017" t="s">
        <v>15</v>
      </c>
      <c r="F5017" t="s">
        <v>28</v>
      </c>
      <c r="G5017" t="s">
        <v>500</v>
      </c>
      <c r="H5017" t="s">
        <v>275</v>
      </c>
    </row>
    <row r="5018" spans="1:8" x14ac:dyDescent="0.2">
      <c r="A5018" t="s">
        <v>287</v>
      </c>
      <c r="B5018">
        <v>8.9706521739130434</v>
      </c>
      <c r="C5018" t="s">
        <v>33</v>
      </c>
      <c r="D5018" t="s">
        <v>27</v>
      </c>
      <c r="E5018" t="s">
        <v>15</v>
      </c>
      <c r="F5018" t="s">
        <v>28</v>
      </c>
      <c r="G5018" t="s">
        <v>288</v>
      </c>
      <c r="H5018" t="s">
        <v>34</v>
      </c>
    </row>
    <row r="5019" spans="1:8" x14ac:dyDescent="0.2">
      <c r="A5019" t="s">
        <v>289</v>
      </c>
      <c r="B5019">
        <v>3.9869565217391298</v>
      </c>
      <c r="C5019" t="s">
        <v>33</v>
      </c>
      <c r="D5019" t="s">
        <v>27</v>
      </c>
      <c r="E5019" t="s">
        <v>15</v>
      </c>
      <c r="F5019" t="s">
        <v>28</v>
      </c>
      <c r="G5019" t="s">
        <v>290</v>
      </c>
      <c r="H5019" t="s">
        <v>34</v>
      </c>
    </row>
    <row r="5020" spans="1:8" x14ac:dyDescent="0.2">
      <c r="A5020" t="s">
        <v>280</v>
      </c>
      <c r="B5020">
        <v>-61.72357742721627</v>
      </c>
      <c r="C5020" t="s">
        <v>33</v>
      </c>
      <c r="D5020" t="s">
        <v>27</v>
      </c>
      <c r="E5020" t="s">
        <v>15</v>
      </c>
      <c r="F5020" t="s">
        <v>28</v>
      </c>
      <c r="G5020" t="s">
        <v>281</v>
      </c>
      <c r="H5020" t="s">
        <v>282</v>
      </c>
    </row>
    <row r="5021" spans="1:8" x14ac:dyDescent="0.2">
      <c r="A5021" t="s">
        <v>60</v>
      </c>
      <c r="B5021">
        <v>40.570833333333333</v>
      </c>
      <c r="C5021" t="s">
        <v>26</v>
      </c>
      <c r="D5021" t="s">
        <v>27</v>
      </c>
      <c r="E5021" t="s">
        <v>15</v>
      </c>
      <c r="F5021" t="s">
        <v>28</v>
      </c>
      <c r="G5021" t="s">
        <v>54</v>
      </c>
      <c r="H5021" t="s">
        <v>34</v>
      </c>
    </row>
    <row r="5022" spans="1:8" x14ac:dyDescent="0.2">
      <c r="A5022" t="s">
        <v>276</v>
      </c>
      <c r="B5022">
        <v>-1262.2285644937319</v>
      </c>
      <c r="C5022" t="s">
        <v>33</v>
      </c>
      <c r="D5022" t="s">
        <v>27</v>
      </c>
      <c r="E5022" t="s">
        <v>15</v>
      </c>
      <c r="F5022" t="s">
        <v>28</v>
      </c>
      <c r="G5022" t="s">
        <v>277</v>
      </c>
      <c r="H5022" t="s">
        <v>25</v>
      </c>
    </row>
    <row r="5023" spans="1:8" x14ac:dyDescent="0.2">
      <c r="A5023" t="s">
        <v>501</v>
      </c>
      <c r="B5023">
        <v>-244.68816227609051</v>
      </c>
      <c r="C5023" t="s">
        <v>33</v>
      </c>
      <c r="D5023" t="s">
        <v>27</v>
      </c>
      <c r="E5023" t="s">
        <v>15</v>
      </c>
      <c r="F5023" t="s">
        <v>28</v>
      </c>
      <c r="G5023" t="s">
        <v>502</v>
      </c>
      <c r="H5023" t="s">
        <v>25</v>
      </c>
    </row>
    <row r="5024" spans="1:8" x14ac:dyDescent="0.2">
      <c r="A5024" t="s">
        <v>56</v>
      </c>
      <c r="B5024">
        <v>328.31646018989801</v>
      </c>
      <c r="C5024" t="s">
        <v>63</v>
      </c>
      <c r="D5024" t="s">
        <v>39</v>
      </c>
      <c r="E5024" t="s">
        <v>15</v>
      </c>
      <c r="F5024" t="s">
        <v>28</v>
      </c>
      <c r="G5024" t="s">
        <v>58</v>
      </c>
      <c r="H5024" t="s">
        <v>34</v>
      </c>
    </row>
    <row r="5025" spans="1:8" x14ac:dyDescent="0.2">
      <c r="A5025" t="s">
        <v>401</v>
      </c>
      <c r="B5025">
        <v>1</v>
      </c>
      <c r="C5025" t="s">
        <v>26</v>
      </c>
      <c r="D5025" t="s">
        <v>10</v>
      </c>
      <c r="E5025" t="s">
        <v>15</v>
      </c>
      <c r="F5025" t="s">
        <v>24</v>
      </c>
      <c r="G5025" t="s">
        <v>71</v>
      </c>
      <c r="H5025" t="s">
        <v>25</v>
      </c>
    </row>
    <row r="5027" spans="1:8" ht="16" x14ac:dyDescent="0.2">
      <c r="A5027" s="1" t="s">
        <v>4</v>
      </c>
      <c r="B5027" s="1" t="s">
        <v>345</v>
      </c>
    </row>
    <row r="5028" spans="1:8" x14ac:dyDescent="0.2">
      <c r="A5028" t="s">
        <v>5</v>
      </c>
      <c r="B5028" t="s">
        <v>26</v>
      </c>
    </row>
    <row r="5029" spans="1:8" x14ac:dyDescent="0.2">
      <c r="A5029" t="s">
        <v>6</v>
      </c>
      <c r="B5029">
        <v>1</v>
      </c>
    </row>
    <row r="5030" spans="1:8" x14ac:dyDescent="0.2">
      <c r="A5030" t="s">
        <v>7</v>
      </c>
      <c r="B5030" t="s">
        <v>73</v>
      </c>
    </row>
    <row r="5031" spans="1:8" x14ac:dyDescent="0.2">
      <c r="A5031" t="s">
        <v>8</v>
      </c>
      <c r="B5031" t="s">
        <v>9</v>
      </c>
    </row>
    <row r="5032" spans="1:8" x14ac:dyDescent="0.2">
      <c r="A5032" t="s">
        <v>10</v>
      </c>
      <c r="B5032" t="s">
        <v>10</v>
      </c>
    </row>
    <row r="5033" spans="1:8" x14ac:dyDescent="0.2">
      <c r="A5033" t="s">
        <v>11</v>
      </c>
      <c r="B5033" t="s">
        <v>12</v>
      </c>
    </row>
    <row r="5034" spans="1:8" x14ac:dyDescent="0.2">
      <c r="A5034" t="s">
        <v>13</v>
      </c>
      <c r="B5034" t="s">
        <v>291</v>
      </c>
    </row>
    <row r="5035" spans="1:8" x14ac:dyDescent="0.2">
      <c r="A5035" t="s">
        <v>14</v>
      </c>
      <c r="B5035" t="s">
        <v>271</v>
      </c>
    </row>
    <row r="5036" spans="1:8" x14ac:dyDescent="0.2">
      <c r="A5036" t="s">
        <v>16</v>
      </c>
      <c r="B5036" t="s">
        <v>15</v>
      </c>
    </row>
    <row r="5037" spans="1:8" x14ac:dyDescent="0.2">
      <c r="A5037" t="s">
        <v>17</v>
      </c>
      <c r="B5037" t="s">
        <v>264</v>
      </c>
    </row>
    <row r="5038" spans="1:8" ht="16" x14ac:dyDescent="0.2">
      <c r="A5038" s="1" t="s">
        <v>18</v>
      </c>
    </row>
    <row r="5039" spans="1:8" x14ac:dyDescent="0.2">
      <c r="A5039" t="s">
        <v>19</v>
      </c>
      <c r="B5039" t="s">
        <v>20</v>
      </c>
      <c r="C5039" t="s">
        <v>5</v>
      </c>
      <c r="D5039" t="s">
        <v>10</v>
      </c>
      <c r="E5039" t="s">
        <v>22</v>
      </c>
      <c r="F5039" t="s">
        <v>8</v>
      </c>
      <c r="G5039" t="s">
        <v>7</v>
      </c>
      <c r="H5039" t="s">
        <v>23</v>
      </c>
    </row>
    <row r="5040" spans="1:8" x14ac:dyDescent="0.2">
      <c r="A5040" t="s">
        <v>610</v>
      </c>
      <c r="B5040">
        <f>71.2</f>
        <v>71.2</v>
      </c>
      <c r="C5040" t="s">
        <v>33</v>
      </c>
      <c r="D5040" t="s">
        <v>39</v>
      </c>
      <c r="F5040" t="s">
        <v>28</v>
      </c>
      <c r="G5040" t="s">
        <v>611</v>
      </c>
      <c r="H5040" t="s">
        <v>34</v>
      </c>
    </row>
    <row r="5041" spans="1:8" x14ac:dyDescent="0.2">
      <c r="A5041" t="s">
        <v>61</v>
      </c>
      <c r="B5041">
        <v>145.6191208670383</v>
      </c>
      <c r="C5041" t="s">
        <v>33</v>
      </c>
      <c r="D5041" t="s">
        <v>27</v>
      </c>
      <c r="E5041" t="s">
        <v>15</v>
      </c>
      <c r="F5041" t="s">
        <v>28</v>
      </c>
      <c r="G5041" t="s">
        <v>61</v>
      </c>
      <c r="H5041" t="s">
        <v>62</v>
      </c>
    </row>
    <row r="5042" spans="1:8" x14ac:dyDescent="0.2">
      <c r="A5042" t="s">
        <v>283</v>
      </c>
      <c r="B5042">
        <v>5.9608695652173918</v>
      </c>
      <c r="C5042" t="s">
        <v>33</v>
      </c>
      <c r="D5042" t="s">
        <v>27</v>
      </c>
      <c r="E5042" t="s">
        <v>15</v>
      </c>
      <c r="F5042" t="s">
        <v>28</v>
      </c>
      <c r="G5042" t="s">
        <v>284</v>
      </c>
      <c r="H5042" t="s">
        <v>34</v>
      </c>
    </row>
    <row r="5043" spans="1:8" x14ac:dyDescent="0.2">
      <c r="A5043" t="s">
        <v>285</v>
      </c>
      <c r="B5043">
        <v>4.4706521739130434</v>
      </c>
      <c r="C5043" t="s">
        <v>33</v>
      </c>
      <c r="D5043" t="s">
        <v>27</v>
      </c>
      <c r="E5043" t="s">
        <v>15</v>
      </c>
      <c r="F5043" t="s">
        <v>28</v>
      </c>
      <c r="G5043" t="s">
        <v>286</v>
      </c>
      <c r="H5043" t="s">
        <v>34</v>
      </c>
    </row>
    <row r="5044" spans="1:8" x14ac:dyDescent="0.2">
      <c r="A5044" t="s">
        <v>278</v>
      </c>
      <c r="B5044">
        <v>49.42084139770472</v>
      </c>
      <c r="C5044" t="s">
        <v>33</v>
      </c>
      <c r="D5044" t="s">
        <v>27</v>
      </c>
      <c r="E5044" t="s">
        <v>15</v>
      </c>
      <c r="F5044" t="s">
        <v>28</v>
      </c>
      <c r="G5044" t="s">
        <v>279</v>
      </c>
      <c r="H5044" t="s">
        <v>275</v>
      </c>
    </row>
    <row r="5045" spans="1:8" x14ac:dyDescent="0.2">
      <c r="A5045" t="s">
        <v>272</v>
      </c>
      <c r="B5045">
        <v>1367.036644874237</v>
      </c>
      <c r="C5045" t="s">
        <v>33</v>
      </c>
      <c r="D5045" t="s">
        <v>27</v>
      </c>
      <c r="E5045" t="s">
        <v>15</v>
      </c>
      <c r="F5045" t="s">
        <v>28</v>
      </c>
      <c r="G5045" t="s">
        <v>273</v>
      </c>
      <c r="H5045" t="s">
        <v>62</v>
      </c>
    </row>
    <row r="5046" spans="1:8" x14ac:dyDescent="0.2">
      <c r="A5046" t="s">
        <v>274</v>
      </c>
      <c r="B5046">
        <v>237.74972958890569</v>
      </c>
      <c r="C5046" t="s">
        <v>33</v>
      </c>
      <c r="D5046" t="s">
        <v>27</v>
      </c>
      <c r="E5046" t="s">
        <v>15</v>
      </c>
      <c r="F5046" t="s">
        <v>28</v>
      </c>
      <c r="G5046" t="s">
        <v>500</v>
      </c>
      <c r="H5046" t="s">
        <v>275</v>
      </c>
    </row>
    <row r="5047" spans="1:8" x14ac:dyDescent="0.2">
      <c r="A5047" t="s">
        <v>287</v>
      </c>
      <c r="B5047">
        <v>8.9413043478260867</v>
      </c>
      <c r="C5047" t="s">
        <v>33</v>
      </c>
      <c r="D5047" t="s">
        <v>27</v>
      </c>
      <c r="E5047" t="s">
        <v>15</v>
      </c>
      <c r="F5047" t="s">
        <v>28</v>
      </c>
      <c r="G5047" t="s">
        <v>288</v>
      </c>
      <c r="H5047" t="s">
        <v>34</v>
      </c>
    </row>
    <row r="5048" spans="1:8" x14ac:dyDescent="0.2">
      <c r="A5048" t="s">
        <v>289</v>
      </c>
      <c r="B5048">
        <v>3.973913043478261</v>
      </c>
      <c r="C5048" t="s">
        <v>33</v>
      </c>
      <c r="D5048" t="s">
        <v>27</v>
      </c>
      <c r="E5048" t="s">
        <v>15</v>
      </c>
      <c r="F5048" t="s">
        <v>28</v>
      </c>
      <c r="G5048" t="s">
        <v>290</v>
      </c>
      <c r="H5048" t="s">
        <v>34</v>
      </c>
    </row>
    <row r="5049" spans="1:8" x14ac:dyDescent="0.2">
      <c r="A5049" t="s">
        <v>280</v>
      </c>
      <c r="B5049">
        <v>-72.767580528139504</v>
      </c>
      <c r="C5049" t="s">
        <v>33</v>
      </c>
      <c r="D5049" t="s">
        <v>27</v>
      </c>
      <c r="E5049" t="s">
        <v>15</v>
      </c>
      <c r="F5049" t="s">
        <v>28</v>
      </c>
      <c r="G5049" t="s">
        <v>281</v>
      </c>
      <c r="H5049" t="s">
        <v>282</v>
      </c>
    </row>
    <row r="5050" spans="1:8" x14ac:dyDescent="0.2">
      <c r="A5050" t="s">
        <v>60</v>
      </c>
      <c r="B5050">
        <v>49.041666666666657</v>
      </c>
      <c r="C5050" t="s">
        <v>26</v>
      </c>
      <c r="D5050" t="s">
        <v>27</v>
      </c>
      <c r="E5050" t="s">
        <v>15</v>
      </c>
      <c r="F5050" t="s">
        <v>28</v>
      </c>
      <c r="G5050" t="s">
        <v>54</v>
      </c>
      <c r="H5050" t="s">
        <v>34</v>
      </c>
    </row>
    <row r="5051" spans="1:8" x14ac:dyDescent="0.2">
      <c r="A5051" t="s">
        <v>276</v>
      </c>
      <c r="B5051">
        <v>-1270.4591906738649</v>
      </c>
      <c r="C5051" t="s">
        <v>33</v>
      </c>
      <c r="D5051" t="s">
        <v>27</v>
      </c>
      <c r="E5051" t="s">
        <v>15</v>
      </c>
      <c r="F5051" t="s">
        <v>28</v>
      </c>
      <c r="G5051" t="s">
        <v>277</v>
      </c>
      <c r="H5051" t="s">
        <v>25</v>
      </c>
    </row>
    <row r="5052" spans="1:8" x14ac:dyDescent="0.2">
      <c r="A5052" t="s">
        <v>501</v>
      </c>
      <c r="B5052">
        <v>-237.74972958890569</v>
      </c>
      <c r="C5052" t="s">
        <v>33</v>
      </c>
      <c r="D5052" t="s">
        <v>27</v>
      </c>
      <c r="E5052" t="s">
        <v>15</v>
      </c>
      <c r="F5052" t="s">
        <v>28</v>
      </c>
      <c r="G5052" t="s">
        <v>502</v>
      </c>
      <c r="H5052" t="s">
        <v>25</v>
      </c>
    </row>
    <row r="5053" spans="1:8" x14ac:dyDescent="0.2">
      <c r="A5053" t="s">
        <v>56</v>
      </c>
      <c r="B5053">
        <v>284.80338828659711</v>
      </c>
      <c r="C5053" t="s">
        <v>63</v>
      </c>
      <c r="D5053" t="s">
        <v>39</v>
      </c>
      <c r="E5053" t="s">
        <v>15</v>
      </c>
      <c r="F5053" t="s">
        <v>28</v>
      </c>
      <c r="G5053" t="s">
        <v>58</v>
      </c>
      <c r="H5053" t="s">
        <v>34</v>
      </c>
    </row>
    <row r="5054" spans="1:8" x14ac:dyDescent="0.2">
      <c r="A5054" t="s">
        <v>345</v>
      </c>
      <c r="B5054">
        <v>1</v>
      </c>
      <c r="C5054" t="s">
        <v>26</v>
      </c>
      <c r="D5054" t="s">
        <v>10</v>
      </c>
      <c r="E5054" t="s">
        <v>15</v>
      </c>
      <c r="F5054" t="s">
        <v>24</v>
      </c>
      <c r="G5054" t="s">
        <v>73</v>
      </c>
      <c r="H5054" t="s">
        <v>25</v>
      </c>
    </row>
    <row r="5057" spans="1:8" ht="16" x14ac:dyDescent="0.2">
      <c r="A5057" s="1" t="s">
        <v>4</v>
      </c>
      <c r="B5057" s="1" t="s">
        <v>483</v>
      </c>
    </row>
    <row r="5058" spans="1:8" x14ac:dyDescent="0.2">
      <c r="A5058" t="s">
        <v>5</v>
      </c>
      <c r="B5058" t="s">
        <v>26</v>
      </c>
    </row>
    <row r="5059" spans="1:8" x14ac:dyDescent="0.2">
      <c r="A5059" t="s">
        <v>6</v>
      </c>
      <c r="B5059">
        <v>1</v>
      </c>
    </row>
    <row r="5060" spans="1:8" x14ac:dyDescent="0.2">
      <c r="A5060" t="s">
        <v>7</v>
      </c>
      <c r="B5060" t="s">
        <v>88</v>
      </c>
    </row>
    <row r="5061" spans="1:8" x14ac:dyDescent="0.2">
      <c r="A5061" t="s">
        <v>8</v>
      </c>
      <c r="B5061" t="s">
        <v>9</v>
      </c>
    </row>
    <row r="5062" spans="1:8" x14ac:dyDescent="0.2">
      <c r="A5062" t="s">
        <v>10</v>
      </c>
      <c r="B5062" t="s">
        <v>10</v>
      </c>
    </row>
    <row r="5063" spans="1:8" x14ac:dyDescent="0.2">
      <c r="A5063" t="s">
        <v>11</v>
      </c>
      <c r="B5063" t="s">
        <v>12</v>
      </c>
    </row>
    <row r="5064" spans="1:8" x14ac:dyDescent="0.2">
      <c r="A5064" t="s">
        <v>13</v>
      </c>
      <c r="B5064" t="s">
        <v>291</v>
      </c>
    </row>
    <row r="5065" spans="1:8" x14ac:dyDescent="0.2">
      <c r="A5065" t="s">
        <v>14</v>
      </c>
      <c r="B5065" t="s">
        <v>271</v>
      </c>
    </row>
    <row r="5066" spans="1:8" x14ac:dyDescent="0.2">
      <c r="A5066" t="s">
        <v>16</v>
      </c>
      <c r="B5066" t="s">
        <v>15</v>
      </c>
    </row>
    <row r="5067" spans="1:8" x14ac:dyDescent="0.2">
      <c r="A5067" t="s">
        <v>17</v>
      </c>
      <c r="B5067" t="s">
        <v>265</v>
      </c>
    </row>
    <row r="5068" spans="1:8" ht="16" x14ac:dyDescent="0.2">
      <c r="A5068" s="1" t="s">
        <v>18</v>
      </c>
    </row>
    <row r="5069" spans="1:8" x14ac:dyDescent="0.2">
      <c r="A5069" t="s">
        <v>19</v>
      </c>
      <c r="B5069" t="s">
        <v>20</v>
      </c>
      <c r="C5069" t="s">
        <v>5</v>
      </c>
      <c r="D5069" t="s">
        <v>10</v>
      </c>
      <c r="E5069" t="s">
        <v>22</v>
      </c>
      <c r="F5069" t="s">
        <v>8</v>
      </c>
      <c r="G5069" t="s">
        <v>7</v>
      </c>
      <c r="H5069" t="s">
        <v>23</v>
      </c>
    </row>
    <row r="5070" spans="1:8" x14ac:dyDescent="0.2">
      <c r="A5070" t="s">
        <v>610</v>
      </c>
      <c r="B5070">
        <f>22.1</f>
        <v>22.1</v>
      </c>
      <c r="C5070" t="s">
        <v>33</v>
      </c>
      <c r="D5070" t="s">
        <v>39</v>
      </c>
      <c r="F5070" t="s">
        <v>28</v>
      </c>
      <c r="G5070" t="s">
        <v>611</v>
      </c>
      <c r="H5070" t="s">
        <v>34</v>
      </c>
    </row>
    <row r="5071" spans="1:8" x14ac:dyDescent="0.2">
      <c r="A5071" t="s">
        <v>484</v>
      </c>
      <c r="B5071">
        <v>117.39130434782609</v>
      </c>
      <c r="C5071" t="s">
        <v>26</v>
      </c>
      <c r="D5071" t="s">
        <v>27</v>
      </c>
      <c r="E5071" t="s">
        <v>15</v>
      </c>
      <c r="F5071" t="s">
        <v>28</v>
      </c>
      <c r="G5071" t="s">
        <v>485</v>
      </c>
      <c r="H5071" t="s">
        <v>34</v>
      </c>
    </row>
    <row r="5072" spans="1:8" x14ac:dyDescent="0.2">
      <c r="A5072" t="s">
        <v>61</v>
      </c>
      <c r="B5072">
        <v>143.804347826087</v>
      </c>
      <c r="C5072" t="s">
        <v>33</v>
      </c>
      <c r="D5072" t="s">
        <v>27</v>
      </c>
      <c r="E5072" t="s">
        <v>15</v>
      </c>
      <c r="F5072" t="s">
        <v>28</v>
      </c>
      <c r="G5072" t="s">
        <v>61</v>
      </c>
      <c r="H5072" t="s">
        <v>62</v>
      </c>
    </row>
    <row r="5073" spans="1:8" ht="16" x14ac:dyDescent="0.2">
      <c r="A5073" s="2" t="s">
        <v>503</v>
      </c>
      <c r="B5073">
        <v>21</v>
      </c>
      <c r="C5073" t="s">
        <v>505</v>
      </c>
      <c r="D5073" t="s">
        <v>10</v>
      </c>
      <c r="E5073" t="s">
        <v>15</v>
      </c>
      <c r="F5073" t="s">
        <v>28</v>
      </c>
      <c r="G5073" t="s">
        <v>504</v>
      </c>
      <c r="H5073" t="s">
        <v>34</v>
      </c>
    </row>
    <row r="5074" spans="1:8" x14ac:dyDescent="0.2">
      <c r="A5074" t="s">
        <v>285</v>
      </c>
      <c r="B5074">
        <v>4.4706521739130434</v>
      </c>
      <c r="C5074" t="s">
        <v>33</v>
      </c>
      <c r="D5074" t="s">
        <v>27</v>
      </c>
      <c r="E5074" t="s">
        <v>15</v>
      </c>
      <c r="F5074" t="s">
        <v>28</v>
      </c>
      <c r="G5074" t="s">
        <v>286</v>
      </c>
      <c r="H5074" t="s">
        <v>34</v>
      </c>
    </row>
    <row r="5075" spans="1:8" x14ac:dyDescent="0.2">
      <c r="A5075" t="s">
        <v>278</v>
      </c>
      <c r="B5075">
        <v>74.065746715573823</v>
      </c>
      <c r="C5075" t="s">
        <v>33</v>
      </c>
      <c r="D5075" t="s">
        <v>27</v>
      </c>
      <c r="E5075" t="s">
        <v>15</v>
      </c>
      <c r="F5075" t="s">
        <v>28</v>
      </c>
      <c r="G5075" t="s">
        <v>279</v>
      </c>
      <c r="H5075" t="s">
        <v>275</v>
      </c>
    </row>
    <row r="5076" spans="1:8" x14ac:dyDescent="0.2">
      <c r="A5076" t="s">
        <v>272</v>
      </c>
      <c r="B5076">
        <v>1350</v>
      </c>
      <c r="C5076" t="s">
        <v>33</v>
      </c>
      <c r="D5076" t="s">
        <v>27</v>
      </c>
      <c r="E5076" t="s">
        <v>15</v>
      </c>
      <c r="F5076" t="s">
        <v>28</v>
      </c>
      <c r="G5076" t="s">
        <v>273</v>
      </c>
      <c r="H5076" t="s">
        <v>62</v>
      </c>
    </row>
    <row r="5077" spans="1:8" x14ac:dyDescent="0.2">
      <c r="A5077" t="s">
        <v>274</v>
      </c>
      <c r="B5077">
        <v>77.40845058165101</v>
      </c>
      <c r="C5077" t="s">
        <v>33</v>
      </c>
      <c r="D5077" t="s">
        <v>27</v>
      </c>
      <c r="E5077" t="s">
        <v>15</v>
      </c>
      <c r="F5077" t="s">
        <v>28</v>
      </c>
      <c r="G5077" t="s">
        <v>500</v>
      </c>
      <c r="H5077" t="s">
        <v>275</v>
      </c>
    </row>
    <row r="5078" spans="1:8" x14ac:dyDescent="0.2">
      <c r="A5078" t="s">
        <v>287</v>
      </c>
      <c r="B5078">
        <v>8.9413043478260867</v>
      </c>
      <c r="C5078" t="s">
        <v>33</v>
      </c>
      <c r="D5078" t="s">
        <v>27</v>
      </c>
      <c r="E5078" t="s">
        <v>15</v>
      </c>
      <c r="F5078" t="s">
        <v>28</v>
      </c>
      <c r="G5078" t="s">
        <v>288</v>
      </c>
      <c r="H5078" t="s">
        <v>34</v>
      </c>
    </row>
    <row r="5079" spans="1:8" x14ac:dyDescent="0.2">
      <c r="A5079" t="s">
        <v>289</v>
      </c>
      <c r="B5079">
        <v>3.973913043478261</v>
      </c>
      <c r="C5079" t="s">
        <v>33</v>
      </c>
      <c r="D5079" t="s">
        <v>27</v>
      </c>
      <c r="E5079" t="s">
        <v>15</v>
      </c>
      <c r="F5079" t="s">
        <v>28</v>
      </c>
      <c r="G5079" t="s">
        <v>290</v>
      </c>
      <c r="H5079" t="s">
        <v>34</v>
      </c>
    </row>
    <row r="5080" spans="1:8" x14ac:dyDescent="0.2">
      <c r="A5080" t="s">
        <v>280</v>
      </c>
      <c r="B5080">
        <v>-260.36858571751338</v>
      </c>
      <c r="C5080" t="s">
        <v>33</v>
      </c>
      <c r="D5080" t="s">
        <v>27</v>
      </c>
      <c r="E5080" t="s">
        <v>15</v>
      </c>
      <c r="F5080" t="s">
        <v>28</v>
      </c>
      <c r="G5080" t="s">
        <v>281</v>
      </c>
      <c r="H5080" t="s">
        <v>282</v>
      </c>
    </row>
    <row r="5081" spans="1:8" x14ac:dyDescent="0.2">
      <c r="A5081" t="s">
        <v>276</v>
      </c>
      <c r="B5081">
        <v>-1323.586956521739</v>
      </c>
      <c r="C5081" t="s">
        <v>33</v>
      </c>
      <c r="D5081" t="s">
        <v>27</v>
      </c>
      <c r="E5081" t="s">
        <v>15</v>
      </c>
      <c r="F5081" t="s">
        <v>28</v>
      </c>
      <c r="G5081" t="s">
        <v>277</v>
      </c>
      <c r="H5081" t="s">
        <v>25</v>
      </c>
    </row>
    <row r="5082" spans="1:8" x14ac:dyDescent="0.2">
      <c r="A5082" t="s">
        <v>501</v>
      </c>
      <c r="B5082">
        <v>-77.40845058165101</v>
      </c>
      <c r="C5082" t="s">
        <v>33</v>
      </c>
      <c r="D5082" t="s">
        <v>27</v>
      </c>
      <c r="E5082" t="s">
        <v>15</v>
      </c>
      <c r="F5082" t="s">
        <v>28</v>
      </c>
      <c r="G5082" t="s">
        <v>502</v>
      </c>
      <c r="H5082" t="s">
        <v>25</v>
      </c>
    </row>
    <row r="5083" spans="1:8" x14ac:dyDescent="0.2">
      <c r="A5083" t="s">
        <v>56</v>
      </c>
      <c r="B5083">
        <v>88.35827489263967</v>
      </c>
      <c r="C5083" t="s">
        <v>63</v>
      </c>
      <c r="D5083" t="s">
        <v>39</v>
      </c>
      <c r="E5083" t="s">
        <v>15</v>
      </c>
      <c r="F5083" t="s">
        <v>28</v>
      </c>
      <c r="G5083" t="s">
        <v>58</v>
      </c>
      <c r="H5083" t="s">
        <v>34</v>
      </c>
    </row>
    <row r="5084" spans="1:8" x14ac:dyDescent="0.2">
      <c r="A5084" t="s">
        <v>483</v>
      </c>
      <c r="B5084">
        <v>1</v>
      </c>
      <c r="C5084" t="s">
        <v>26</v>
      </c>
      <c r="D5084" t="s">
        <v>10</v>
      </c>
      <c r="E5084" t="s">
        <v>15</v>
      </c>
      <c r="F5084" t="s">
        <v>24</v>
      </c>
      <c r="G5084" t="s">
        <v>88</v>
      </c>
      <c r="H5084" t="s">
        <v>25</v>
      </c>
    </row>
    <row r="5087" spans="1:8" ht="16" x14ac:dyDescent="0.2">
      <c r="A5087" s="1" t="s">
        <v>4</v>
      </c>
      <c r="B5087" s="1" t="s">
        <v>496</v>
      </c>
    </row>
    <row r="5088" spans="1:8" x14ac:dyDescent="0.2">
      <c r="A5088" t="s">
        <v>5</v>
      </c>
      <c r="B5088" t="s">
        <v>26</v>
      </c>
    </row>
    <row r="5089" spans="1:8" x14ac:dyDescent="0.2">
      <c r="A5089" t="s">
        <v>6</v>
      </c>
      <c r="B5089">
        <v>1</v>
      </c>
    </row>
    <row r="5090" spans="1:8" x14ac:dyDescent="0.2">
      <c r="A5090" t="s">
        <v>7</v>
      </c>
      <c r="B5090" t="s">
        <v>88</v>
      </c>
    </row>
    <row r="5091" spans="1:8" x14ac:dyDescent="0.2">
      <c r="A5091" t="s">
        <v>8</v>
      </c>
      <c r="B5091" t="s">
        <v>9</v>
      </c>
    </row>
    <row r="5092" spans="1:8" x14ac:dyDescent="0.2">
      <c r="A5092" t="s">
        <v>10</v>
      </c>
      <c r="B5092" t="s">
        <v>10</v>
      </c>
    </row>
    <row r="5093" spans="1:8" x14ac:dyDescent="0.2">
      <c r="A5093" t="s">
        <v>11</v>
      </c>
      <c r="B5093" t="s">
        <v>12</v>
      </c>
    </row>
    <row r="5094" spans="1:8" x14ac:dyDescent="0.2">
      <c r="A5094" t="s">
        <v>13</v>
      </c>
      <c r="B5094" t="s">
        <v>291</v>
      </c>
    </row>
    <row r="5095" spans="1:8" x14ac:dyDescent="0.2">
      <c r="A5095" t="s">
        <v>14</v>
      </c>
      <c r="B5095" t="s">
        <v>271</v>
      </c>
    </row>
    <row r="5096" spans="1:8" x14ac:dyDescent="0.2">
      <c r="A5096" t="s">
        <v>16</v>
      </c>
      <c r="B5096" t="s">
        <v>15</v>
      </c>
    </row>
    <row r="5097" spans="1:8" x14ac:dyDescent="0.2">
      <c r="A5097" t="s">
        <v>17</v>
      </c>
      <c r="B5097" t="s">
        <v>266</v>
      </c>
    </row>
    <row r="5098" spans="1:8" ht="16" x14ac:dyDescent="0.2">
      <c r="A5098" s="1" t="s">
        <v>18</v>
      </c>
    </row>
    <row r="5099" spans="1:8" x14ac:dyDescent="0.2">
      <c r="A5099" t="s">
        <v>19</v>
      </c>
      <c r="B5099" t="s">
        <v>20</v>
      </c>
      <c r="C5099" t="s">
        <v>5</v>
      </c>
      <c r="D5099" t="s">
        <v>10</v>
      </c>
      <c r="E5099" t="s">
        <v>22</v>
      </c>
      <c r="F5099" t="s">
        <v>8</v>
      </c>
      <c r="G5099" t="s">
        <v>7</v>
      </c>
      <c r="H5099" t="s">
        <v>23</v>
      </c>
    </row>
    <row r="5100" spans="1:8" x14ac:dyDescent="0.2">
      <c r="A5100" t="s">
        <v>610</v>
      </c>
      <c r="B5100">
        <v>69</v>
      </c>
      <c r="C5100" t="s">
        <v>33</v>
      </c>
      <c r="D5100" t="s">
        <v>39</v>
      </c>
      <c r="F5100" t="s">
        <v>28</v>
      </c>
      <c r="G5100" t="s">
        <v>611</v>
      </c>
      <c r="H5100" t="s">
        <v>34</v>
      </c>
    </row>
    <row r="5101" spans="1:8" x14ac:dyDescent="0.2">
      <c r="A5101" t="s">
        <v>61</v>
      </c>
      <c r="B5101">
        <v>196</v>
      </c>
      <c r="C5101" t="s">
        <v>33</v>
      </c>
      <c r="D5101" t="s">
        <v>27</v>
      </c>
      <c r="E5101" t="s">
        <v>15</v>
      </c>
      <c r="F5101" t="s">
        <v>28</v>
      </c>
      <c r="G5101" t="s">
        <v>61</v>
      </c>
      <c r="H5101" t="s">
        <v>62</v>
      </c>
    </row>
    <row r="5102" spans="1:8" x14ac:dyDescent="0.2">
      <c r="A5102" t="s">
        <v>283</v>
      </c>
      <c r="B5102">
        <v>5.9608695652173918</v>
      </c>
      <c r="C5102" t="s">
        <v>33</v>
      </c>
      <c r="D5102" t="s">
        <v>27</v>
      </c>
      <c r="E5102" t="s">
        <v>15</v>
      </c>
      <c r="F5102" t="s">
        <v>28</v>
      </c>
      <c r="G5102" t="s">
        <v>284</v>
      </c>
      <c r="H5102" t="s">
        <v>34</v>
      </c>
    </row>
    <row r="5103" spans="1:8" x14ac:dyDescent="0.2">
      <c r="A5103" t="s">
        <v>285</v>
      </c>
      <c r="B5103">
        <v>4.4706521739130434</v>
      </c>
      <c r="C5103" t="s">
        <v>33</v>
      </c>
      <c r="D5103" t="s">
        <v>27</v>
      </c>
      <c r="E5103" t="s">
        <v>15</v>
      </c>
      <c r="F5103" t="s">
        <v>28</v>
      </c>
      <c r="G5103" t="s">
        <v>286</v>
      </c>
      <c r="H5103" t="s">
        <v>34</v>
      </c>
    </row>
    <row r="5104" spans="1:8" x14ac:dyDescent="0.2">
      <c r="A5104" t="s">
        <v>278</v>
      </c>
      <c r="B5104">
        <v>83.560674106354156</v>
      </c>
      <c r="C5104" t="s">
        <v>33</v>
      </c>
      <c r="D5104" t="s">
        <v>27</v>
      </c>
      <c r="E5104" t="s">
        <v>15</v>
      </c>
      <c r="F5104" t="s">
        <v>28</v>
      </c>
      <c r="G5104" t="s">
        <v>279</v>
      </c>
      <c r="H5104" t="s">
        <v>275</v>
      </c>
    </row>
    <row r="5105" spans="1:8" x14ac:dyDescent="0.2">
      <c r="A5105" t="s">
        <v>272</v>
      </c>
      <c r="B5105">
        <v>1400</v>
      </c>
      <c r="C5105" t="s">
        <v>33</v>
      </c>
      <c r="D5105" t="s">
        <v>27</v>
      </c>
      <c r="E5105" t="s">
        <v>15</v>
      </c>
      <c r="F5105" t="s">
        <v>28</v>
      </c>
      <c r="G5105" t="s">
        <v>273</v>
      </c>
      <c r="H5105" t="s">
        <v>62</v>
      </c>
    </row>
    <row r="5106" spans="1:8" x14ac:dyDescent="0.2">
      <c r="A5106" t="s">
        <v>274</v>
      </c>
      <c r="B5106">
        <v>84.880545615265106</v>
      </c>
      <c r="C5106" t="s">
        <v>33</v>
      </c>
      <c r="D5106" t="s">
        <v>27</v>
      </c>
      <c r="E5106" t="s">
        <v>15</v>
      </c>
      <c r="F5106" t="s">
        <v>28</v>
      </c>
      <c r="G5106" t="s">
        <v>500</v>
      </c>
      <c r="H5106" t="s">
        <v>275</v>
      </c>
    </row>
    <row r="5107" spans="1:8" x14ac:dyDescent="0.2">
      <c r="A5107" t="s">
        <v>287</v>
      </c>
      <c r="B5107">
        <v>8.9413043478260867</v>
      </c>
      <c r="C5107" t="s">
        <v>33</v>
      </c>
      <c r="D5107" t="s">
        <v>27</v>
      </c>
      <c r="E5107" t="s">
        <v>15</v>
      </c>
      <c r="F5107" t="s">
        <v>28</v>
      </c>
      <c r="G5107" t="s">
        <v>288</v>
      </c>
      <c r="H5107" t="s">
        <v>34</v>
      </c>
    </row>
    <row r="5108" spans="1:8" x14ac:dyDescent="0.2">
      <c r="A5108" t="s">
        <v>289</v>
      </c>
      <c r="B5108">
        <v>3.973913043478261</v>
      </c>
      <c r="C5108" t="s">
        <v>33</v>
      </c>
      <c r="D5108" t="s">
        <v>27</v>
      </c>
      <c r="E5108" t="s">
        <v>15</v>
      </c>
      <c r="F5108" t="s">
        <v>28</v>
      </c>
      <c r="G5108" t="s">
        <v>290</v>
      </c>
      <c r="H5108" t="s">
        <v>34</v>
      </c>
    </row>
    <row r="5109" spans="1:8" x14ac:dyDescent="0.2">
      <c r="A5109" t="s">
        <v>280</v>
      </c>
      <c r="B5109">
        <v>-106.9074132367889</v>
      </c>
      <c r="C5109" t="s">
        <v>33</v>
      </c>
      <c r="D5109" t="s">
        <v>27</v>
      </c>
      <c r="E5109" t="s">
        <v>15</v>
      </c>
      <c r="F5109" t="s">
        <v>28</v>
      </c>
      <c r="G5109" t="s">
        <v>281</v>
      </c>
      <c r="H5109" t="s">
        <v>282</v>
      </c>
    </row>
    <row r="5110" spans="1:8" x14ac:dyDescent="0.2">
      <c r="A5110" t="s">
        <v>276</v>
      </c>
      <c r="B5110">
        <v>-1204</v>
      </c>
      <c r="C5110" t="s">
        <v>33</v>
      </c>
      <c r="D5110" t="s">
        <v>27</v>
      </c>
      <c r="E5110" t="s">
        <v>15</v>
      </c>
      <c r="F5110" t="s">
        <v>28</v>
      </c>
      <c r="G5110" t="s">
        <v>277</v>
      </c>
      <c r="H5110" t="s">
        <v>25</v>
      </c>
    </row>
    <row r="5111" spans="1:8" x14ac:dyDescent="0.2">
      <c r="A5111" t="s">
        <v>501</v>
      </c>
      <c r="B5111">
        <v>-84.880545615265106</v>
      </c>
      <c r="C5111" t="s">
        <v>33</v>
      </c>
      <c r="D5111" t="s">
        <v>27</v>
      </c>
      <c r="E5111" t="s">
        <v>15</v>
      </c>
      <c r="F5111" t="s">
        <v>28</v>
      </c>
      <c r="G5111" t="s">
        <v>502</v>
      </c>
      <c r="H5111" t="s">
        <v>25</v>
      </c>
    </row>
    <row r="5112" spans="1:8" x14ac:dyDescent="0.2">
      <c r="A5112" t="s">
        <v>56</v>
      </c>
      <c r="B5112">
        <v>1392</v>
      </c>
      <c r="C5112" t="s">
        <v>63</v>
      </c>
      <c r="D5112" t="s">
        <v>39</v>
      </c>
      <c r="E5112" t="s">
        <v>15</v>
      </c>
      <c r="F5112" t="s">
        <v>28</v>
      </c>
      <c r="G5112" t="s">
        <v>58</v>
      </c>
      <c r="H5112" t="s">
        <v>34</v>
      </c>
    </row>
    <row r="5113" spans="1:8" x14ac:dyDescent="0.2">
      <c r="A5113" t="s">
        <v>496</v>
      </c>
      <c r="B5113">
        <v>1</v>
      </c>
      <c r="C5113" t="s">
        <v>26</v>
      </c>
      <c r="D5113" t="s">
        <v>10</v>
      </c>
      <c r="E5113" t="s">
        <v>15</v>
      </c>
      <c r="F5113" t="s">
        <v>24</v>
      </c>
      <c r="G5113" t="s">
        <v>88</v>
      </c>
      <c r="H5113" t="s">
        <v>25</v>
      </c>
    </row>
    <row r="5116" spans="1:8" ht="16" x14ac:dyDescent="0.2">
      <c r="A5116" s="1" t="s">
        <v>4</v>
      </c>
      <c r="B5116" s="1" t="s">
        <v>402</v>
      </c>
    </row>
    <row r="5117" spans="1:8" x14ac:dyDescent="0.2">
      <c r="A5117" t="s">
        <v>5</v>
      </c>
      <c r="B5117" t="s">
        <v>26</v>
      </c>
    </row>
    <row r="5118" spans="1:8" x14ac:dyDescent="0.2">
      <c r="A5118" t="s">
        <v>6</v>
      </c>
      <c r="B5118">
        <v>1</v>
      </c>
    </row>
    <row r="5119" spans="1:8" x14ac:dyDescent="0.2">
      <c r="A5119" t="s">
        <v>7</v>
      </c>
      <c r="B5119" t="s">
        <v>71</v>
      </c>
    </row>
    <row r="5120" spans="1:8" x14ac:dyDescent="0.2">
      <c r="A5120" t="s">
        <v>8</v>
      </c>
      <c r="B5120" t="s">
        <v>9</v>
      </c>
    </row>
    <row r="5121" spans="1:8" x14ac:dyDescent="0.2">
      <c r="A5121" t="s">
        <v>10</v>
      </c>
      <c r="B5121" t="s">
        <v>10</v>
      </c>
    </row>
    <row r="5122" spans="1:8" x14ac:dyDescent="0.2">
      <c r="A5122" t="s">
        <v>11</v>
      </c>
      <c r="B5122" t="s">
        <v>12</v>
      </c>
    </row>
    <row r="5123" spans="1:8" x14ac:dyDescent="0.2">
      <c r="A5123" t="s">
        <v>13</v>
      </c>
      <c r="B5123" t="s">
        <v>291</v>
      </c>
    </row>
    <row r="5124" spans="1:8" x14ac:dyDescent="0.2">
      <c r="A5124" t="s">
        <v>14</v>
      </c>
      <c r="B5124" t="s">
        <v>271</v>
      </c>
    </row>
    <row r="5125" spans="1:8" x14ac:dyDescent="0.2">
      <c r="A5125" t="s">
        <v>16</v>
      </c>
      <c r="B5125" t="s">
        <v>15</v>
      </c>
    </row>
    <row r="5126" spans="1:8" x14ac:dyDescent="0.2">
      <c r="A5126" t="s">
        <v>17</v>
      </c>
      <c r="B5126" t="s">
        <v>267</v>
      </c>
    </row>
    <row r="5127" spans="1:8" ht="16" x14ac:dyDescent="0.2">
      <c r="A5127" s="1" t="s">
        <v>18</v>
      </c>
    </row>
    <row r="5128" spans="1:8" x14ac:dyDescent="0.2">
      <c r="A5128" t="s">
        <v>19</v>
      </c>
      <c r="B5128" t="s">
        <v>20</v>
      </c>
      <c r="C5128" t="s">
        <v>5</v>
      </c>
      <c r="D5128" t="s">
        <v>10</v>
      </c>
      <c r="E5128" t="s">
        <v>22</v>
      </c>
      <c r="F5128" t="s">
        <v>8</v>
      </c>
      <c r="G5128" t="s">
        <v>7</v>
      </c>
      <c r="H5128" t="s">
        <v>23</v>
      </c>
    </row>
    <row r="5129" spans="1:8" x14ac:dyDescent="0.2">
      <c r="A5129" t="s">
        <v>610</v>
      </c>
      <c r="B5129">
        <f>13.33</f>
        <v>13.33</v>
      </c>
      <c r="C5129" t="s">
        <v>33</v>
      </c>
      <c r="D5129" t="s">
        <v>39</v>
      </c>
      <c r="F5129" t="s">
        <v>28</v>
      </c>
      <c r="G5129" t="s">
        <v>611</v>
      </c>
      <c r="H5129" t="s">
        <v>34</v>
      </c>
    </row>
    <row r="5130" spans="1:8" x14ac:dyDescent="0.2">
      <c r="A5130" t="s">
        <v>61</v>
      </c>
      <c r="B5130">
        <v>149.72826086956519</v>
      </c>
      <c r="C5130" t="s">
        <v>33</v>
      </c>
      <c r="D5130" t="s">
        <v>27</v>
      </c>
      <c r="E5130" t="s">
        <v>15</v>
      </c>
      <c r="F5130" t="s">
        <v>28</v>
      </c>
      <c r="G5130" t="s">
        <v>61</v>
      </c>
      <c r="H5130" t="s">
        <v>62</v>
      </c>
    </row>
    <row r="5131" spans="1:8" x14ac:dyDescent="0.2">
      <c r="A5131" t="s">
        <v>278</v>
      </c>
      <c r="B5131">
        <v>33.44234282412927</v>
      </c>
      <c r="C5131" t="s">
        <v>33</v>
      </c>
      <c r="D5131" t="s">
        <v>27</v>
      </c>
      <c r="E5131" t="s">
        <v>15</v>
      </c>
      <c r="F5131" t="s">
        <v>28</v>
      </c>
      <c r="G5131" t="s">
        <v>279</v>
      </c>
      <c r="H5131" t="s">
        <v>275</v>
      </c>
    </row>
    <row r="5132" spans="1:8" x14ac:dyDescent="0.2">
      <c r="A5132" t="s">
        <v>272</v>
      </c>
      <c r="B5132">
        <v>1450</v>
      </c>
      <c r="C5132" t="s">
        <v>33</v>
      </c>
      <c r="D5132" t="s">
        <v>27</v>
      </c>
      <c r="E5132" t="s">
        <v>15</v>
      </c>
      <c r="F5132" t="s">
        <v>28</v>
      </c>
      <c r="G5132" t="s">
        <v>273</v>
      </c>
      <c r="H5132" t="s">
        <v>62</v>
      </c>
    </row>
    <row r="5133" spans="1:8" x14ac:dyDescent="0.2">
      <c r="A5133" t="s">
        <v>274</v>
      </c>
      <c r="B5133">
        <v>231.80167649317769</v>
      </c>
      <c r="C5133" t="s">
        <v>33</v>
      </c>
      <c r="D5133" t="s">
        <v>27</v>
      </c>
      <c r="E5133" t="s">
        <v>15</v>
      </c>
      <c r="F5133" t="s">
        <v>28</v>
      </c>
      <c r="G5133" t="s">
        <v>500</v>
      </c>
      <c r="H5133" t="s">
        <v>275</v>
      </c>
    </row>
    <row r="5134" spans="1:8" x14ac:dyDescent="0.2">
      <c r="A5134" t="s">
        <v>287</v>
      </c>
      <c r="B5134">
        <v>8.9706521739130434</v>
      </c>
      <c r="C5134" t="s">
        <v>33</v>
      </c>
      <c r="D5134" t="s">
        <v>27</v>
      </c>
      <c r="E5134" t="s">
        <v>15</v>
      </c>
      <c r="F5134" t="s">
        <v>28</v>
      </c>
      <c r="G5134" t="s">
        <v>288</v>
      </c>
      <c r="H5134" t="s">
        <v>34</v>
      </c>
    </row>
    <row r="5135" spans="1:8" x14ac:dyDescent="0.2">
      <c r="A5135" t="s">
        <v>289</v>
      </c>
      <c r="B5135">
        <v>3.9869565217391298</v>
      </c>
      <c r="C5135" t="s">
        <v>33</v>
      </c>
      <c r="D5135" t="s">
        <v>27</v>
      </c>
      <c r="E5135" t="s">
        <v>15</v>
      </c>
      <c r="F5135" t="s">
        <v>28</v>
      </c>
      <c r="G5135" t="s">
        <v>290</v>
      </c>
      <c r="H5135" t="s">
        <v>34</v>
      </c>
    </row>
    <row r="5136" spans="1:8" x14ac:dyDescent="0.2">
      <c r="A5136" t="s">
        <v>280</v>
      </c>
      <c r="B5136">
        <v>-46.399951519781439</v>
      </c>
      <c r="C5136" t="s">
        <v>33</v>
      </c>
      <c r="D5136" t="s">
        <v>27</v>
      </c>
      <c r="E5136" t="s">
        <v>15</v>
      </c>
      <c r="F5136" t="s">
        <v>28</v>
      </c>
      <c r="G5136" t="s">
        <v>281</v>
      </c>
      <c r="H5136" t="s">
        <v>282</v>
      </c>
    </row>
    <row r="5137" spans="1:8" x14ac:dyDescent="0.2">
      <c r="A5137" t="s">
        <v>60</v>
      </c>
      <c r="B5137">
        <v>41.958333333333343</v>
      </c>
      <c r="C5137" t="s">
        <v>26</v>
      </c>
      <c r="D5137" t="s">
        <v>27</v>
      </c>
      <c r="E5137" t="s">
        <v>15</v>
      </c>
      <c r="F5137" t="s">
        <v>28</v>
      </c>
      <c r="G5137" t="s">
        <v>54</v>
      </c>
      <c r="H5137" t="s">
        <v>34</v>
      </c>
    </row>
    <row r="5138" spans="1:8" x14ac:dyDescent="0.2">
      <c r="A5138" t="s">
        <v>276</v>
      </c>
      <c r="B5138">
        <v>-1342.230072463768</v>
      </c>
      <c r="C5138" t="s">
        <v>33</v>
      </c>
      <c r="D5138" t="s">
        <v>27</v>
      </c>
      <c r="E5138" t="s">
        <v>15</v>
      </c>
      <c r="F5138" t="s">
        <v>28</v>
      </c>
      <c r="G5138" t="s">
        <v>277</v>
      </c>
      <c r="H5138" t="s">
        <v>25</v>
      </c>
    </row>
    <row r="5139" spans="1:8" x14ac:dyDescent="0.2">
      <c r="A5139" t="s">
        <v>501</v>
      </c>
      <c r="B5139">
        <v>-231.80167649317769</v>
      </c>
      <c r="C5139" t="s">
        <v>33</v>
      </c>
      <c r="D5139" t="s">
        <v>27</v>
      </c>
      <c r="E5139" t="s">
        <v>15</v>
      </c>
      <c r="F5139" t="s">
        <v>28</v>
      </c>
      <c r="G5139" t="s">
        <v>502</v>
      </c>
      <c r="H5139" t="s">
        <v>25</v>
      </c>
    </row>
    <row r="5140" spans="1:8" x14ac:dyDescent="0.2">
      <c r="A5140" t="s">
        <v>56</v>
      </c>
      <c r="B5140">
        <v>80.001823567572217</v>
      </c>
      <c r="C5140" t="s">
        <v>63</v>
      </c>
      <c r="D5140" t="s">
        <v>39</v>
      </c>
      <c r="E5140" t="s">
        <v>15</v>
      </c>
      <c r="F5140" t="s">
        <v>28</v>
      </c>
      <c r="G5140" t="s">
        <v>58</v>
      </c>
      <c r="H5140" t="s">
        <v>34</v>
      </c>
    </row>
    <row r="5141" spans="1:8" x14ac:dyDescent="0.2">
      <c r="A5141" t="s">
        <v>402</v>
      </c>
      <c r="B5141">
        <v>1</v>
      </c>
      <c r="C5141" t="s">
        <v>26</v>
      </c>
      <c r="D5141" t="s">
        <v>10</v>
      </c>
      <c r="E5141" t="s">
        <v>15</v>
      </c>
      <c r="F5141" t="s">
        <v>24</v>
      </c>
      <c r="G5141" t="s">
        <v>71</v>
      </c>
      <c r="H5141" t="s">
        <v>25</v>
      </c>
    </row>
    <row r="5143" spans="1:8" ht="16" x14ac:dyDescent="0.2">
      <c r="A5143" s="1" t="s">
        <v>4</v>
      </c>
      <c r="B5143" s="1" t="s">
        <v>346</v>
      </c>
    </row>
    <row r="5144" spans="1:8" x14ac:dyDescent="0.2">
      <c r="A5144" t="s">
        <v>5</v>
      </c>
      <c r="B5144" t="s">
        <v>26</v>
      </c>
    </row>
    <row r="5145" spans="1:8" x14ac:dyDescent="0.2">
      <c r="A5145" t="s">
        <v>6</v>
      </c>
      <c r="B5145">
        <v>1</v>
      </c>
    </row>
    <row r="5146" spans="1:8" x14ac:dyDescent="0.2">
      <c r="A5146" t="s">
        <v>7</v>
      </c>
      <c r="B5146" t="s">
        <v>73</v>
      </c>
    </row>
    <row r="5147" spans="1:8" x14ac:dyDescent="0.2">
      <c r="A5147" t="s">
        <v>8</v>
      </c>
      <c r="B5147" t="s">
        <v>9</v>
      </c>
    </row>
    <row r="5148" spans="1:8" x14ac:dyDescent="0.2">
      <c r="A5148" t="s">
        <v>10</v>
      </c>
      <c r="B5148" t="s">
        <v>10</v>
      </c>
    </row>
    <row r="5149" spans="1:8" x14ac:dyDescent="0.2">
      <c r="A5149" t="s">
        <v>11</v>
      </c>
      <c r="B5149" t="s">
        <v>12</v>
      </c>
    </row>
    <row r="5150" spans="1:8" x14ac:dyDescent="0.2">
      <c r="A5150" t="s">
        <v>13</v>
      </c>
      <c r="B5150" t="s">
        <v>291</v>
      </c>
    </row>
    <row r="5151" spans="1:8" x14ac:dyDescent="0.2">
      <c r="A5151" t="s">
        <v>14</v>
      </c>
      <c r="B5151" t="s">
        <v>271</v>
      </c>
    </row>
    <row r="5152" spans="1:8" x14ac:dyDescent="0.2">
      <c r="A5152" t="s">
        <v>16</v>
      </c>
      <c r="B5152" t="s">
        <v>15</v>
      </c>
    </row>
    <row r="5153" spans="1:8" x14ac:dyDescent="0.2">
      <c r="A5153" t="s">
        <v>17</v>
      </c>
      <c r="B5153" t="s">
        <v>268</v>
      </c>
    </row>
    <row r="5154" spans="1:8" ht="16" x14ac:dyDescent="0.2">
      <c r="A5154" s="1" t="s">
        <v>18</v>
      </c>
    </row>
    <row r="5155" spans="1:8" x14ac:dyDescent="0.2">
      <c r="A5155" t="s">
        <v>19</v>
      </c>
      <c r="B5155" t="s">
        <v>20</v>
      </c>
      <c r="C5155" t="s">
        <v>5</v>
      </c>
      <c r="D5155" t="s">
        <v>10</v>
      </c>
      <c r="E5155" t="s">
        <v>22</v>
      </c>
      <c r="F5155" t="s">
        <v>8</v>
      </c>
      <c r="G5155" t="s">
        <v>7</v>
      </c>
      <c r="H5155" t="s">
        <v>23</v>
      </c>
    </row>
    <row r="5156" spans="1:8" x14ac:dyDescent="0.2">
      <c r="A5156" t="s">
        <v>610</v>
      </c>
      <c r="B5156">
        <f>12.8</f>
        <v>12.8</v>
      </c>
      <c r="C5156" t="s">
        <v>33</v>
      </c>
      <c r="D5156" t="s">
        <v>39</v>
      </c>
      <c r="F5156" t="s">
        <v>28</v>
      </c>
      <c r="G5156" t="s">
        <v>611</v>
      </c>
      <c r="H5156" t="s">
        <v>34</v>
      </c>
    </row>
    <row r="5157" spans="1:8" x14ac:dyDescent="0.2">
      <c r="A5157" t="s">
        <v>61</v>
      </c>
      <c r="B5157">
        <v>154.45652173913049</v>
      </c>
      <c r="C5157" t="s">
        <v>33</v>
      </c>
      <c r="D5157" t="s">
        <v>27</v>
      </c>
      <c r="E5157" t="s">
        <v>15</v>
      </c>
      <c r="F5157" t="s">
        <v>28</v>
      </c>
      <c r="G5157" t="s">
        <v>61</v>
      </c>
      <c r="H5157" t="s">
        <v>62</v>
      </c>
    </row>
    <row r="5158" spans="1:8" x14ac:dyDescent="0.2">
      <c r="A5158" t="s">
        <v>278</v>
      </c>
      <c r="B5158">
        <v>33.006783732378949</v>
      </c>
      <c r="C5158" t="s">
        <v>33</v>
      </c>
      <c r="D5158" t="s">
        <v>27</v>
      </c>
      <c r="E5158" t="s">
        <v>15</v>
      </c>
      <c r="F5158" t="s">
        <v>28</v>
      </c>
      <c r="G5158" t="s">
        <v>279</v>
      </c>
      <c r="H5158" t="s">
        <v>275</v>
      </c>
    </row>
    <row r="5159" spans="1:8" x14ac:dyDescent="0.2">
      <c r="A5159" t="s">
        <v>272</v>
      </c>
      <c r="B5159">
        <v>1450</v>
      </c>
      <c r="C5159" t="s">
        <v>33</v>
      </c>
      <c r="D5159" t="s">
        <v>27</v>
      </c>
      <c r="E5159" t="s">
        <v>15</v>
      </c>
      <c r="F5159" t="s">
        <v>28</v>
      </c>
      <c r="G5159" t="s">
        <v>273</v>
      </c>
      <c r="H5159" t="s">
        <v>62</v>
      </c>
    </row>
    <row r="5160" spans="1:8" x14ac:dyDescent="0.2">
      <c r="A5160" t="s">
        <v>274</v>
      </c>
      <c r="B5160">
        <v>229.26339179170299</v>
      </c>
      <c r="C5160" t="s">
        <v>33</v>
      </c>
      <c r="D5160" t="s">
        <v>27</v>
      </c>
      <c r="E5160" t="s">
        <v>15</v>
      </c>
      <c r="F5160" t="s">
        <v>28</v>
      </c>
      <c r="G5160" t="s">
        <v>500</v>
      </c>
      <c r="H5160" t="s">
        <v>275</v>
      </c>
    </row>
    <row r="5161" spans="1:8" x14ac:dyDescent="0.2">
      <c r="A5161" t="s">
        <v>287</v>
      </c>
      <c r="B5161">
        <v>8.9413043478260867</v>
      </c>
      <c r="C5161" t="s">
        <v>33</v>
      </c>
      <c r="D5161" t="s">
        <v>27</v>
      </c>
      <c r="E5161" t="s">
        <v>15</v>
      </c>
      <c r="F5161" t="s">
        <v>28</v>
      </c>
      <c r="G5161" t="s">
        <v>288</v>
      </c>
      <c r="H5161" t="s">
        <v>34</v>
      </c>
    </row>
    <row r="5162" spans="1:8" x14ac:dyDescent="0.2">
      <c r="A5162" t="s">
        <v>289</v>
      </c>
      <c r="B5162">
        <v>3.973913043478261</v>
      </c>
      <c r="C5162" t="s">
        <v>33</v>
      </c>
      <c r="D5162" t="s">
        <v>27</v>
      </c>
      <c r="E5162" t="s">
        <v>15</v>
      </c>
      <c r="F5162" t="s">
        <v>28</v>
      </c>
      <c r="G5162" t="s">
        <v>290</v>
      </c>
      <c r="H5162" t="s">
        <v>34</v>
      </c>
    </row>
    <row r="5163" spans="1:8" x14ac:dyDescent="0.2">
      <c r="A5163" t="s">
        <v>280</v>
      </c>
      <c r="B5163">
        <v>-45.922001123683287</v>
      </c>
      <c r="C5163" t="s">
        <v>33</v>
      </c>
      <c r="D5163" t="s">
        <v>27</v>
      </c>
      <c r="E5163" t="s">
        <v>15</v>
      </c>
      <c r="F5163" t="s">
        <v>28</v>
      </c>
      <c r="G5163" t="s">
        <v>281</v>
      </c>
      <c r="H5163" t="s">
        <v>282</v>
      </c>
    </row>
    <row r="5164" spans="1:8" x14ac:dyDescent="0.2">
      <c r="A5164" t="s">
        <v>60</v>
      </c>
      <c r="B5164">
        <v>39.75</v>
      </c>
      <c r="C5164" t="s">
        <v>26</v>
      </c>
      <c r="D5164" t="s">
        <v>27</v>
      </c>
      <c r="E5164" t="s">
        <v>15</v>
      </c>
      <c r="F5164" t="s">
        <v>28</v>
      </c>
      <c r="G5164" t="s">
        <v>54</v>
      </c>
      <c r="H5164" t="s">
        <v>34</v>
      </c>
    </row>
    <row r="5165" spans="1:8" x14ac:dyDescent="0.2">
      <c r="A5165" t="s">
        <v>276</v>
      </c>
      <c r="B5165">
        <v>-1335.29347826087</v>
      </c>
      <c r="C5165" t="s">
        <v>33</v>
      </c>
      <c r="D5165" t="s">
        <v>27</v>
      </c>
      <c r="E5165" t="s">
        <v>15</v>
      </c>
      <c r="F5165" t="s">
        <v>28</v>
      </c>
      <c r="G5165" t="s">
        <v>277</v>
      </c>
      <c r="H5165" t="s">
        <v>25</v>
      </c>
    </row>
    <row r="5166" spans="1:8" x14ac:dyDescent="0.2">
      <c r="A5166" t="s">
        <v>501</v>
      </c>
      <c r="B5166">
        <v>-229.26339179170299</v>
      </c>
      <c r="C5166" t="s">
        <v>33</v>
      </c>
      <c r="D5166" t="s">
        <v>27</v>
      </c>
      <c r="E5166" t="s">
        <v>15</v>
      </c>
      <c r="F5166" t="s">
        <v>28</v>
      </c>
      <c r="G5166" t="s">
        <v>502</v>
      </c>
      <c r="H5166" t="s">
        <v>25</v>
      </c>
    </row>
    <row r="5167" spans="1:8" x14ac:dyDescent="0.2">
      <c r="A5167" t="s">
        <v>56</v>
      </c>
      <c r="B5167">
        <v>51.290779729749538</v>
      </c>
      <c r="C5167" t="s">
        <v>63</v>
      </c>
      <c r="D5167" t="s">
        <v>39</v>
      </c>
      <c r="E5167" t="s">
        <v>15</v>
      </c>
      <c r="F5167" t="s">
        <v>28</v>
      </c>
      <c r="G5167" t="s">
        <v>58</v>
      </c>
      <c r="H5167" t="s">
        <v>34</v>
      </c>
    </row>
    <row r="5168" spans="1:8" x14ac:dyDescent="0.2">
      <c r="A5168" t="s">
        <v>346</v>
      </c>
      <c r="B5168">
        <v>1</v>
      </c>
      <c r="C5168" t="s">
        <v>26</v>
      </c>
      <c r="D5168" t="s">
        <v>10</v>
      </c>
      <c r="E5168" t="s">
        <v>15</v>
      </c>
      <c r="F5168" t="s">
        <v>24</v>
      </c>
      <c r="G5168" t="s">
        <v>73</v>
      </c>
      <c r="H5168" t="s">
        <v>25</v>
      </c>
    </row>
    <row r="5171" spans="1:8" ht="16" x14ac:dyDescent="0.2">
      <c r="A5171" s="1" t="s">
        <v>4</v>
      </c>
      <c r="B5171" s="1" t="s">
        <v>403</v>
      </c>
    </row>
    <row r="5172" spans="1:8" x14ac:dyDescent="0.2">
      <c r="A5172" t="s">
        <v>5</v>
      </c>
      <c r="B5172" t="s">
        <v>26</v>
      </c>
    </row>
    <row r="5173" spans="1:8" x14ac:dyDescent="0.2">
      <c r="A5173" t="s">
        <v>6</v>
      </c>
      <c r="B5173">
        <v>1</v>
      </c>
    </row>
    <row r="5174" spans="1:8" x14ac:dyDescent="0.2">
      <c r="A5174" t="s">
        <v>7</v>
      </c>
      <c r="B5174" t="s">
        <v>71</v>
      </c>
    </row>
    <row r="5175" spans="1:8" x14ac:dyDescent="0.2">
      <c r="A5175" t="s">
        <v>8</v>
      </c>
      <c r="B5175" t="s">
        <v>9</v>
      </c>
    </row>
    <row r="5176" spans="1:8" x14ac:dyDescent="0.2">
      <c r="A5176" t="s">
        <v>10</v>
      </c>
      <c r="B5176" t="s">
        <v>10</v>
      </c>
    </row>
    <row r="5177" spans="1:8" x14ac:dyDescent="0.2">
      <c r="A5177" t="s">
        <v>11</v>
      </c>
      <c r="B5177" t="s">
        <v>12</v>
      </c>
    </row>
    <row r="5178" spans="1:8" x14ac:dyDescent="0.2">
      <c r="A5178" t="s">
        <v>13</v>
      </c>
      <c r="B5178" t="s">
        <v>291</v>
      </c>
    </row>
    <row r="5179" spans="1:8" x14ac:dyDescent="0.2">
      <c r="A5179" t="s">
        <v>14</v>
      </c>
      <c r="B5179" t="s">
        <v>271</v>
      </c>
    </row>
    <row r="5180" spans="1:8" x14ac:dyDescent="0.2">
      <c r="A5180" t="s">
        <v>16</v>
      </c>
      <c r="B5180" t="s">
        <v>15</v>
      </c>
    </row>
    <row r="5181" spans="1:8" x14ac:dyDescent="0.2">
      <c r="A5181" t="s">
        <v>17</v>
      </c>
      <c r="B5181" t="s">
        <v>269</v>
      </c>
    </row>
    <row r="5182" spans="1:8" ht="16" x14ac:dyDescent="0.2">
      <c r="A5182" s="1" t="s">
        <v>18</v>
      </c>
    </row>
    <row r="5183" spans="1:8" x14ac:dyDescent="0.2">
      <c r="A5183" t="s">
        <v>19</v>
      </c>
      <c r="B5183" t="s">
        <v>20</v>
      </c>
      <c r="C5183" t="s">
        <v>5</v>
      </c>
      <c r="D5183" t="s">
        <v>10</v>
      </c>
      <c r="E5183" t="s">
        <v>22</v>
      </c>
      <c r="F5183" t="s">
        <v>8</v>
      </c>
      <c r="G5183" t="s">
        <v>7</v>
      </c>
      <c r="H5183" t="s">
        <v>23</v>
      </c>
    </row>
    <row r="5184" spans="1:8" x14ac:dyDescent="0.2">
      <c r="A5184" t="s">
        <v>610</v>
      </c>
      <c r="B5184">
        <f>13.33</f>
        <v>13.33</v>
      </c>
      <c r="C5184" t="s">
        <v>33</v>
      </c>
      <c r="D5184" t="s">
        <v>39</v>
      </c>
      <c r="F5184" t="s">
        <v>28</v>
      </c>
      <c r="G5184" t="s">
        <v>611</v>
      </c>
      <c r="H5184" t="s">
        <v>34</v>
      </c>
    </row>
    <row r="5185" spans="1:8" x14ac:dyDescent="0.2">
      <c r="A5185" t="s">
        <v>61</v>
      </c>
      <c r="B5185">
        <v>149.72826086956519</v>
      </c>
      <c r="C5185" t="s">
        <v>33</v>
      </c>
      <c r="D5185" t="s">
        <v>27</v>
      </c>
      <c r="E5185" t="s">
        <v>15</v>
      </c>
      <c r="F5185" t="s">
        <v>28</v>
      </c>
      <c r="G5185" t="s">
        <v>61</v>
      </c>
      <c r="H5185" t="s">
        <v>62</v>
      </c>
    </row>
    <row r="5186" spans="1:8" x14ac:dyDescent="0.2">
      <c r="A5186" t="s">
        <v>278</v>
      </c>
      <c r="B5186">
        <v>33.445889901726069</v>
      </c>
      <c r="C5186" t="s">
        <v>33</v>
      </c>
      <c r="D5186" t="s">
        <v>27</v>
      </c>
      <c r="E5186" t="s">
        <v>15</v>
      </c>
      <c r="F5186" t="s">
        <v>28</v>
      </c>
      <c r="G5186" t="s">
        <v>279</v>
      </c>
      <c r="H5186" t="s">
        <v>275</v>
      </c>
    </row>
    <row r="5187" spans="1:8" x14ac:dyDescent="0.2">
      <c r="A5187" t="s">
        <v>272</v>
      </c>
      <c r="B5187">
        <v>1450</v>
      </c>
      <c r="C5187" t="s">
        <v>33</v>
      </c>
      <c r="D5187" t="s">
        <v>27</v>
      </c>
      <c r="E5187" t="s">
        <v>15</v>
      </c>
      <c r="F5187" t="s">
        <v>28</v>
      </c>
      <c r="G5187" t="s">
        <v>273</v>
      </c>
      <c r="H5187" t="s">
        <v>62</v>
      </c>
    </row>
    <row r="5188" spans="1:8" x14ac:dyDescent="0.2">
      <c r="A5188" t="s">
        <v>274</v>
      </c>
      <c r="B5188">
        <v>231.83201942870679</v>
      </c>
      <c r="C5188" t="s">
        <v>33</v>
      </c>
      <c r="D5188" t="s">
        <v>27</v>
      </c>
      <c r="E5188" t="s">
        <v>15</v>
      </c>
      <c r="F5188" t="s">
        <v>28</v>
      </c>
      <c r="G5188" t="s">
        <v>500</v>
      </c>
      <c r="H5188" t="s">
        <v>275</v>
      </c>
    </row>
    <row r="5189" spans="1:8" x14ac:dyDescent="0.2">
      <c r="A5189" t="s">
        <v>287</v>
      </c>
      <c r="B5189">
        <v>8.9706521739130434</v>
      </c>
      <c r="C5189" t="s">
        <v>33</v>
      </c>
      <c r="D5189" t="s">
        <v>27</v>
      </c>
      <c r="E5189" t="s">
        <v>15</v>
      </c>
      <c r="F5189" t="s">
        <v>28</v>
      </c>
      <c r="G5189" t="s">
        <v>288</v>
      </c>
      <c r="H5189" t="s">
        <v>34</v>
      </c>
    </row>
    <row r="5190" spans="1:8" x14ac:dyDescent="0.2">
      <c r="A5190" t="s">
        <v>289</v>
      </c>
      <c r="B5190">
        <v>3.9869565217391298</v>
      </c>
      <c r="C5190" t="s">
        <v>33</v>
      </c>
      <c r="D5190" t="s">
        <v>27</v>
      </c>
      <c r="E5190" t="s">
        <v>15</v>
      </c>
      <c r="F5190" t="s">
        <v>28</v>
      </c>
      <c r="G5190" t="s">
        <v>290</v>
      </c>
      <c r="H5190" t="s">
        <v>34</v>
      </c>
    </row>
    <row r="5191" spans="1:8" x14ac:dyDescent="0.2">
      <c r="A5191" t="s">
        <v>280</v>
      </c>
      <c r="B5191">
        <v>-46.403498597378253</v>
      </c>
      <c r="C5191" t="s">
        <v>33</v>
      </c>
      <c r="D5191" t="s">
        <v>27</v>
      </c>
      <c r="E5191" t="s">
        <v>15</v>
      </c>
      <c r="F5191" t="s">
        <v>28</v>
      </c>
      <c r="G5191" t="s">
        <v>281</v>
      </c>
      <c r="H5191" t="s">
        <v>282</v>
      </c>
    </row>
    <row r="5192" spans="1:8" x14ac:dyDescent="0.2">
      <c r="A5192" t="s">
        <v>60</v>
      </c>
      <c r="B5192">
        <v>42.354166666666657</v>
      </c>
      <c r="C5192" t="s">
        <v>26</v>
      </c>
      <c r="D5192" t="s">
        <v>27</v>
      </c>
      <c r="E5192" t="s">
        <v>15</v>
      </c>
      <c r="F5192" t="s">
        <v>28</v>
      </c>
      <c r="G5192" t="s">
        <v>54</v>
      </c>
      <c r="H5192" t="s">
        <v>34</v>
      </c>
    </row>
    <row r="5193" spans="1:8" x14ac:dyDescent="0.2">
      <c r="A5193" t="s">
        <v>276</v>
      </c>
      <c r="B5193">
        <v>-1342.625905797101</v>
      </c>
      <c r="C5193" t="s">
        <v>33</v>
      </c>
      <c r="D5193" t="s">
        <v>27</v>
      </c>
      <c r="E5193" t="s">
        <v>15</v>
      </c>
      <c r="F5193" t="s">
        <v>28</v>
      </c>
      <c r="G5193" t="s">
        <v>277</v>
      </c>
      <c r="H5193" t="s">
        <v>25</v>
      </c>
    </row>
    <row r="5194" spans="1:8" x14ac:dyDescent="0.2">
      <c r="A5194" t="s">
        <v>501</v>
      </c>
      <c r="B5194">
        <v>-231.83201942870679</v>
      </c>
      <c r="C5194" t="s">
        <v>33</v>
      </c>
      <c r="D5194" t="s">
        <v>27</v>
      </c>
      <c r="E5194" t="s">
        <v>15</v>
      </c>
      <c r="F5194" t="s">
        <v>28</v>
      </c>
      <c r="G5194" t="s">
        <v>502</v>
      </c>
      <c r="H5194" t="s">
        <v>25</v>
      </c>
    </row>
    <row r="5195" spans="1:8" x14ac:dyDescent="0.2">
      <c r="A5195" t="s">
        <v>56</v>
      </c>
      <c r="B5195">
        <v>80.022433955292556</v>
      </c>
      <c r="C5195" t="s">
        <v>63</v>
      </c>
      <c r="D5195" t="s">
        <v>39</v>
      </c>
      <c r="E5195" t="s">
        <v>15</v>
      </c>
      <c r="F5195" t="s">
        <v>28</v>
      </c>
      <c r="G5195" t="s">
        <v>58</v>
      </c>
      <c r="H5195" t="s">
        <v>34</v>
      </c>
    </row>
    <row r="5196" spans="1:8" x14ac:dyDescent="0.2">
      <c r="A5196" t="s">
        <v>403</v>
      </c>
      <c r="B5196">
        <v>1</v>
      </c>
      <c r="C5196" t="s">
        <v>26</v>
      </c>
      <c r="D5196" t="s">
        <v>10</v>
      </c>
      <c r="E5196" t="s">
        <v>15</v>
      </c>
      <c r="F5196" t="s">
        <v>24</v>
      </c>
      <c r="G5196" t="s">
        <v>71</v>
      </c>
      <c r="H5196" t="s">
        <v>25</v>
      </c>
    </row>
    <row r="5198" spans="1:8" ht="16" x14ac:dyDescent="0.2">
      <c r="A5198" s="1" t="s">
        <v>4</v>
      </c>
      <c r="B5198" s="1" t="s">
        <v>347</v>
      </c>
    </row>
    <row r="5199" spans="1:8" x14ac:dyDescent="0.2">
      <c r="A5199" t="s">
        <v>5</v>
      </c>
      <c r="B5199" t="s">
        <v>26</v>
      </c>
    </row>
    <row r="5200" spans="1:8" x14ac:dyDescent="0.2">
      <c r="A5200" t="s">
        <v>6</v>
      </c>
      <c r="B5200">
        <v>1</v>
      </c>
    </row>
    <row r="5201" spans="1:8" x14ac:dyDescent="0.2">
      <c r="A5201" t="s">
        <v>7</v>
      </c>
      <c r="B5201" t="s">
        <v>73</v>
      </c>
    </row>
    <row r="5202" spans="1:8" x14ac:dyDescent="0.2">
      <c r="A5202" t="s">
        <v>8</v>
      </c>
      <c r="B5202" t="s">
        <v>9</v>
      </c>
    </row>
    <row r="5203" spans="1:8" x14ac:dyDescent="0.2">
      <c r="A5203" t="s">
        <v>10</v>
      </c>
      <c r="B5203" t="s">
        <v>10</v>
      </c>
    </row>
    <row r="5204" spans="1:8" x14ac:dyDescent="0.2">
      <c r="A5204" t="s">
        <v>11</v>
      </c>
      <c r="B5204" t="s">
        <v>12</v>
      </c>
    </row>
    <row r="5205" spans="1:8" x14ac:dyDescent="0.2">
      <c r="A5205" t="s">
        <v>13</v>
      </c>
      <c r="B5205" t="s">
        <v>291</v>
      </c>
    </row>
    <row r="5206" spans="1:8" x14ac:dyDescent="0.2">
      <c r="A5206" t="s">
        <v>14</v>
      </c>
      <c r="B5206" t="s">
        <v>271</v>
      </c>
    </row>
    <row r="5207" spans="1:8" x14ac:dyDescent="0.2">
      <c r="A5207" t="s">
        <v>16</v>
      </c>
      <c r="B5207" t="s">
        <v>15</v>
      </c>
    </row>
    <row r="5208" spans="1:8" x14ac:dyDescent="0.2">
      <c r="A5208" t="s">
        <v>17</v>
      </c>
      <c r="B5208" t="s">
        <v>270</v>
      </c>
    </row>
    <row r="5209" spans="1:8" ht="16" x14ac:dyDescent="0.2">
      <c r="A5209" s="1" t="s">
        <v>18</v>
      </c>
    </row>
    <row r="5210" spans="1:8" x14ac:dyDescent="0.2">
      <c r="A5210" t="s">
        <v>19</v>
      </c>
      <c r="B5210" t="s">
        <v>20</v>
      </c>
      <c r="C5210" t="s">
        <v>5</v>
      </c>
      <c r="D5210" t="s">
        <v>10</v>
      </c>
      <c r="E5210" t="s">
        <v>22</v>
      </c>
      <c r="F5210" t="s">
        <v>8</v>
      </c>
      <c r="G5210" t="s">
        <v>7</v>
      </c>
      <c r="H5210" t="s">
        <v>23</v>
      </c>
    </row>
    <row r="5211" spans="1:8" x14ac:dyDescent="0.2">
      <c r="A5211" t="s">
        <v>610</v>
      </c>
      <c r="B5211">
        <f>12.8</f>
        <v>12.8</v>
      </c>
      <c r="C5211" t="s">
        <v>33</v>
      </c>
      <c r="D5211" t="s">
        <v>39</v>
      </c>
      <c r="F5211" t="s">
        <v>28</v>
      </c>
      <c r="G5211" t="s">
        <v>611</v>
      </c>
      <c r="H5211" t="s">
        <v>34</v>
      </c>
    </row>
    <row r="5212" spans="1:8" x14ac:dyDescent="0.2">
      <c r="A5212" t="s">
        <v>61</v>
      </c>
      <c r="B5212">
        <v>154.45652173913049</v>
      </c>
      <c r="C5212" t="s">
        <v>33</v>
      </c>
      <c r="D5212" t="s">
        <v>27</v>
      </c>
      <c r="E5212" t="s">
        <v>15</v>
      </c>
      <c r="F5212" t="s">
        <v>28</v>
      </c>
      <c r="G5212" t="s">
        <v>61</v>
      </c>
      <c r="H5212" t="s">
        <v>62</v>
      </c>
    </row>
    <row r="5213" spans="1:8" x14ac:dyDescent="0.2">
      <c r="A5213" t="s">
        <v>278</v>
      </c>
      <c r="B5213">
        <v>33.010140973491659</v>
      </c>
      <c r="C5213" t="s">
        <v>33</v>
      </c>
      <c r="D5213" t="s">
        <v>27</v>
      </c>
      <c r="E5213" t="s">
        <v>15</v>
      </c>
      <c r="F5213" t="s">
        <v>28</v>
      </c>
      <c r="G5213" t="s">
        <v>279</v>
      </c>
      <c r="H5213" t="s">
        <v>275</v>
      </c>
    </row>
    <row r="5214" spans="1:8" x14ac:dyDescent="0.2">
      <c r="A5214" t="s">
        <v>272</v>
      </c>
      <c r="B5214">
        <v>1450</v>
      </c>
      <c r="C5214" t="s">
        <v>33</v>
      </c>
      <c r="D5214" t="s">
        <v>27</v>
      </c>
      <c r="E5214" t="s">
        <v>15</v>
      </c>
      <c r="F5214" t="s">
        <v>28</v>
      </c>
      <c r="G5214" t="s">
        <v>273</v>
      </c>
      <c r="H5214" t="s">
        <v>62</v>
      </c>
    </row>
    <row r="5215" spans="1:8" x14ac:dyDescent="0.2">
      <c r="A5215" t="s">
        <v>274</v>
      </c>
      <c r="B5215">
        <v>229.29195753456199</v>
      </c>
      <c r="C5215" t="s">
        <v>33</v>
      </c>
      <c r="D5215" t="s">
        <v>27</v>
      </c>
      <c r="E5215" t="s">
        <v>15</v>
      </c>
      <c r="F5215" t="s">
        <v>28</v>
      </c>
      <c r="G5215" t="s">
        <v>500</v>
      </c>
      <c r="H5215" t="s">
        <v>275</v>
      </c>
    </row>
    <row r="5216" spans="1:8" x14ac:dyDescent="0.2">
      <c r="A5216" t="s">
        <v>287</v>
      </c>
      <c r="B5216">
        <v>8.9413043478260867</v>
      </c>
      <c r="C5216" t="s">
        <v>33</v>
      </c>
      <c r="D5216" t="s">
        <v>27</v>
      </c>
      <c r="E5216" t="s">
        <v>15</v>
      </c>
      <c r="F5216" t="s">
        <v>28</v>
      </c>
      <c r="G5216" t="s">
        <v>288</v>
      </c>
      <c r="H5216" t="s">
        <v>34</v>
      </c>
    </row>
    <row r="5217" spans="1:8" x14ac:dyDescent="0.2">
      <c r="A5217" t="s">
        <v>289</v>
      </c>
      <c r="B5217">
        <v>3.973913043478261</v>
      </c>
      <c r="C5217" t="s">
        <v>33</v>
      </c>
      <c r="D5217" t="s">
        <v>27</v>
      </c>
      <c r="E5217" t="s">
        <v>15</v>
      </c>
      <c r="F5217" t="s">
        <v>28</v>
      </c>
      <c r="G5217" t="s">
        <v>290</v>
      </c>
      <c r="H5217" t="s">
        <v>34</v>
      </c>
    </row>
    <row r="5218" spans="1:8" x14ac:dyDescent="0.2">
      <c r="A5218" t="s">
        <v>280</v>
      </c>
      <c r="B5218">
        <v>-45.925358364795997</v>
      </c>
      <c r="C5218" t="s">
        <v>33</v>
      </c>
      <c r="D5218" t="s">
        <v>27</v>
      </c>
      <c r="E5218" t="s">
        <v>15</v>
      </c>
      <c r="F5218" t="s">
        <v>28</v>
      </c>
      <c r="G5218" t="s">
        <v>281</v>
      </c>
      <c r="H5218" t="s">
        <v>282</v>
      </c>
    </row>
    <row r="5219" spans="1:8" x14ac:dyDescent="0.2">
      <c r="A5219" t="s">
        <v>60</v>
      </c>
      <c r="B5219">
        <v>40.124999999999993</v>
      </c>
      <c r="C5219" t="s">
        <v>26</v>
      </c>
      <c r="D5219" t="s">
        <v>27</v>
      </c>
      <c r="E5219" t="s">
        <v>15</v>
      </c>
      <c r="F5219" t="s">
        <v>28</v>
      </c>
      <c r="G5219" t="s">
        <v>54</v>
      </c>
      <c r="H5219" t="s">
        <v>34</v>
      </c>
    </row>
    <row r="5220" spans="1:8" x14ac:dyDescent="0.2">
      <c r="A5220" t="s">
        <v>276</v>
      </c>
      <c r="B5220">
        <v>-1335.66847826087</v>
      </c>
      <c r="C5220" t="s">
        <v>33</v>
      </c>
      <c r="D5220" t="s">
        <v>27</v>
      </c>
      <c r="E5220" t="s">
        <v>15</v>
      </c>
      <c r="F5220" t="s">
        <v>28</v>
      </c>
      <c r="G5220" t="s">
        <v>277</v>
      </c>
      <c r="H5220" t="s">
        <v>25</v>
      </c>
    </row>
    <row r="5221" spans="1:8" x14ac:dyDescent="0.2">
      <c r="A5221" t="s">
        <v>501</v>
      </c>
      <c r="B5221">
        <v>-229.29195753456199</v>
      </c>
      <c r="C5221" t="s">
        <v>33</v>
      </c>
      <c r="D5221" t="s">
        <v>27</v>
      </c>
      <c r="E5221" t="s">
        <v>15</v>
      </c>
      <c r="F5221" t="s">
        <v>28</v>
      </c>
      <c r="G5221" t="s">
        <v>502</v>
      </c>
      <c r="H5221" t="s">
        <v>25</v>
      </c>
    </row>
    <row r="5222" spans="1:8" x14ac:dyDescent="0.2">
      <c r="A5222" t="s">
        <v>56</v>
      </c>
      <c r="B5222">
        <v>51.303386512703391</v>
      </c>
      <c r="C5222" t="s">
        <v>63</v>
      </c>
      <c r="D5222" t="s">
        <v>39</v>
      </c>
      <c r="E5222" t="s">
        <v>15</v>
      </c>
      <c r="F5222" t="s">
        <v>28</v>
      </c>
      <c r="G5222" t="s">
        <v>58</v>
      </c>
      <c r="H5222" t="s">
        <v>34</v>
      </c>
    </row>
    <row r="5223" spans="1:8" x14ac:dyDescent="0.2">
      <c r="A5223" t="s">
        <v>347</v>
      </c>
      <c r="B5223">
        <v>1</v>
      </c>
      <c r="C5223" t="s">
        <v>26</v>
      </c>
      <c r="D5223" t="s">
        <v>10</v>
      </c>
      <c r="E5223" t="s">
        <v>15</v>
      </c>
      <c r="F5223" t="s">
        <v>24</v>
      </c>
      <c r="G5223" t="s">
        <v>73</v>
      </c>
      <c r="H5223" t="s">
        <v>25</v>
      </c>
    </row>
  </sheetData>
  <autoFilter ref="A1:I5225" xr:uid="{00000000-0009-0000-0000-000000000000}"/>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Romain Sacchi</cp:lastModifiedBy>
  <dcterms:created xsi:type="dcterms:W3CDTF">2021-12-06T12:02:53Z</dcterms:created>
  <dcterms:modified xsi:type="dcterms:W3CDTF">2025-11-10T08:13:24Z</dcterms:modified>
</cp:coreProperties>
</file>